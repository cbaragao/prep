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bf274cee792c47f/Prep/prep/PowerQuery/Training/"/>
    </mc:Choice>
  </mc:AlternateContent>
  <xr:revisionPtr revIDLastSave="614" documentId="8_{01AD0CE4-093B-4556-BBB7-3D9FB101C131}" xr6:coauthVersionLast="47" xr6:coauthVersionMax="47" xr10:uidLastSave="{1343A683-12E5-4110-918F-C6C372143581}"/>
  <bookViews>
    <workbookView xWindow="-20625" yWindow="-135" windowWidth="20760" windowHeight="11070" firstSheet="3" activeTab="6" xr2:uid="{AC48B650-20F2-4939-9788-E8CBA086FB42}"/>
  </bookViews>
  <sheets>
    <sheet name="QueryFolding" sheetId="5" r:id="rId1"/>
    <sheet name="Sheet1" sheetId="7" r:id="rId2"/>
    <sheet name="Invoked Function" sheetId="9" r:id="rId3"/>
    <sheet name="Table6" sheetId="11" r:id="rId4"/>
    <sheet name="Invoked Function (2)" sheetId="12" r:id="rId5"/>
    <sheet name="Table" sheetId="13" r:id="rId6"/>
    <sheet name="Table (2)" sheetId="14" r:id="rId7"/>
    <sheet name="Sheet3" sheetId="10" r:id="rId8"/>
  </sheets>
  <functionGroups builtInGroupCount="19"/>
  <definedNames>
    <definedName name="_xlchart.v5.0" hidden="1">'Table (2)'!$A$1</definedName>
    <definedName name="_xlchart.v5.1" hidden="1">'Table (2)'!$A$2:$A$362</definedName>
    <definedName name="_xlchart.v5.10" hidden="1">'Table (2)'!$F$1</definedName>
    <definedName name="_xlchart.v5.11" hidden="1">'Table (2)'!$F$2:$F$362</definedName>
    <definedName name="_xlchart.v5.12" hidden="1">'Table (2)'!$A$1</definedName>
    <definedName name="_xlchart.v5.13" hidden="1">'Table (2)'!$A$2:$A$362</definedName>
    <definedName name="_xlchart.v5.14" hidden="1">'Table (2)'!$B$1</definedName>
    <definedName name="_xlchart.v5.15" hidden="1">'Table (2)'!$B$2:$B$362</definedName>
    <definedName name="_xlchart.v5.16" hidden="1">'Table (2)'!$C$1</definedName>
    <definedName name="_xlchart.v5.17" hidden="1">'Table (2)'!$C$2:$C$362</definedName>
    <definedName name="_xlchart.v5.18" hidden="1">'Table (2)'!$D$1</definedName>
    <definedName name="_xlchart.v5.19" hidden="1">'Table (2)'!$D$2:$D$362</definedName>
    <definedName name="_xlchart.v5.2" hidden="1">'Table (2)'!$B$1</definedName>
    <definedName name="_xlchart.v5.20" hidden="1">'Table (2)'!$E$1</definedName>
    <definedName name="_xlchart.v5.21" hidden="1">'Table (2)'!$E$2:$E$362</definedName>
    <definedName name="_xlchart.v5.22" hidden="1">'Table (2)'!$F$1</definedName>
    <definedName name="_xlchart.v5.23" hidden="1">'Table (2)'!$F$2:$F$362</definedName>
    <definedName name="_xlchart.v5.3" hidden="1">'Table (2)'!$B$2:$B$362</definedName>
    <definedName name="_xlchart.v5.4" hidden="1">'Table (2)'!$C$1</definedName>
    <definedName name="_xlchart.v5.5" hidden="1">'Table (2)'!$C$2:$C$362</definedName>
    <definedName name="_xlchart.v5.6" hidden="1">'Table (2)'!$D$1</definedName>
    <definedName name="_xlchart.v5.7" hidden="1">'Table (2)'!$D$2:$D$362</definedName>
    <definedName name="_xlchart.v5.8" hidden="1">'Table (2)'!$E$1</definedName>
    <definedName name="_xlchart.v5.9" hidden="1">'Table (2)'!$E$2:$E$362</definedName>
    <definedName name="ExternalData_1" localSheetId="2" hidden="1">'Invoked Function'!$A$1:$A$2</definedName>
    <definedName name="ExternalData_1" localSheetId="4" hidden="1">'Invoked Function (2)'!$A$1:$A$2</definedName>
    <definedName name="ExternalData_1" localSheetId="5" hidden="1">Table!$A$1:$E$2</definedName>
    <definedName name="ExternalData_1" localSheetId="6" hidden="1">'Table (2)'!$A$1:$F$362</definedName>
    <definedName name="ExternalData_2" localSheetId="0" hidden="1">QueryFolding!$A$1:$C$268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eryFolding_b997eb07-4e98-4c83-a775-0f220ffa067a" name="QueryFolding" connection="Query - QueryFoldin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0" l="1"/>
  <c r="C8" i="10"/>
  <c r="C2" i="10"/>
  <c r="C3" i="10"/>
  <c r="D9" i="10" l="1"/>
  <c r="I20" i="7" l="1"/>
  <c r="J20" i="7" s="1"/>
  <c r="I21" i="7" s="1"/>
  <c r="H13" i="7"/>
  <c r="I12" i="7"/>
  <c r="I11" i="7"/>
  <c r="H11" i="7"/>
  <c r="I8" i="7"/>
  <c r="H8" i="7"/>
  <c r="I7" i="7"/>
  <c r="H7" i="7"/>
  <c r="H12" i="7" s="1"/>
  <c r="L2" i="7"/>
  <c r="C6" i="7"/>
  <c r="E9" i="7" s="1"/>
  <c r="C13" i="7" s="1"/>
  <c r="B15" i="7" s="1"/>
  <c r="C19" i="7" s="1"/>
  <c r="D9" i="7"/>
  <c r="C9" i="7"/>
  <c r="B9" i="7"/>
  <c r="B6" i="7"/>
  <c r="D8" i="10" l="1"/>
  <c r="H16" i="7"/>
  <c r="B21" i="7"/>
  <c r="B23" i="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A3E1ED-80FB-4CBA-8319-DA581E4DAD6D}" keepAlive="1" name="ModelConnection_ExternalData_2" description="Data Model" type="5" refreshedVersion="8" minRefreshableVersion="5" saveData="1">
    <dbPr connection="Data Model Connection" command="QueryFolding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4B39CC9E-6AE9-4B6C-8318-046E851F39CC}" keepAlive="1" name="Query - fngetTerminalLocation" description="Connection to the 'fngetTerminalLocation' query in the workbook." type="5" refreshedVersion="8" background="1" saveData="1">
    <dbPr connection="Provider=Microsoft.Mashup.OleDb.1;Data Source=$Workbook$;Location=fngetTerminalLocation;Extended Properties=&quot;&quot;" command="SELECT * FROM [fngetTerminalLocation]"/>
  </connection>
  <connection id="3" xr16:uid="{9C9C7A5B-3348-41D7-A823-7AEC46307603}" name="Query - QueryFolding" description="Connection to the 'QueryFolding' query in the workbook." type="100" refreshedVersion="8" minRefreshableVersion="5">
    <extLst>
      <ext xmlns:x15="http://schemas.microsoft.com/office/spreadsheetml/2010/11/main" uri="{DE250136-89BD-433C-8126-D09CA5730AF9}">
        <x15:connection id="f9bf3f9f-de74-4acf-b7ce-1e65a77942d9"/>
      </ext>
    </extLst>
  </connection>
  <connection id="4" xr16:uid="{8FA98BED-ACA2-4ACD-800B-FA5D637973A6}" keepAlive="1" name="Query - Table" description="Connection to the 'Table' query in the workbook." type="5" refreshedVersion="8" background="1" saveData="1">
    <dbPr connection="Provider=Microsoft.Mashup.OleDb.1;Data Source=$Workbook$;Location=Table;Extended Properties=&quot;&quot;" command="SELECT * FROM [Table]"/>
  </connection>
  <connection id="5" xr16:uid="{B1B3CB51-5A8A-4B39-9CFD-1375FE0EE531}" keepAlive="1" name="Query - Table (2)" description="Connection to the 'Table (2)' query in the workbook." type="5" refreshedVersion="8" background="1" saveData="1">
    <dbPr connection="Provider=Microsoft.Mashup.OleDb.1;Data Source=$Workbook$;Location=&quot;Table (2)&quot;;Extended Properties=&quot;&quot;" command="SELECT * FROM [Table (2)]"/>
  </connection>
  <connection id="6" xr16:uid="{A2740C69-8063-4862-9876-B64CB487E45E}" keepAlive="1" name="Query - ThisQueryDoesNot" description="Connection to the 'ThisQueryDoesNot' query in the workbook." type="5" refreshedVersion="8" background="1" saveData="1">
    <dbPr connection="Provider=Microsoft.Mashup.OleDb.1;Data Source=$Workbook$;Location=ThisQueryDoesNot;Extended Properties=&quot;&quot;" command="SELECT * FROM [ThisQueryDoesNot]"/>
  </connection>
  <connection id="7" xr16:uid="{E180B37D-BEB0-4D0D-BCBD-347564C385FA}" keepAlive="1" name="Query - ThisQueryFolds" description="Connection to the 'ThisQueryFolds' query in the workbook." type="5" refreshedVersion="0" background="1" saveData="1">
    <dbPr connection="Provider=Microsoft.Mashup.OleDb.1;Data Source=$Workbook$;Location=ThisQueryFolds;Extended Properties=&quot;&quot;" command="SELECT * FROM [ThisQueryFolds]"/>
  </connection>
  <connection id="8" xr16:uid="{10A635FF-5B3E-46BF-9EE9-ADE07FE2D7C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<sst xmlns="http://schemas.openxmlformats.org/spreadsheetml/2006/main" count="316" uniqueCount="306">
  <si>
    <t>Name</t>
  </si>
  <si>
    <t>Supports Query Folding</t>
  </si>
  <si>
    <t>SQL Equivalent</t>
  </si>
  <si>
    <t>Character.ToNumber</t>
  </si>
  <si>
    <t>Date.DaysInMonth</t>
  </si>
  <si>
    <t>Date.EndOfDay</t>
  </si>
  <si>
    <t>Date.EndOfQuarter</t>
  </si>
  <si>
    <t>Date.EndOfWeek</t>
  </si>
  <si>
    <t>Date.EndOfYear</t>
  </si>
  <si>
    <t>Date.From</t>
  </si>
  <si>
    <t>Date.IsLeapYear</t>
  </si>
  <si>
    <t>Date.MonthName</t>
  </si>
  <si>
    <t>Date.StartOfDay</t>
  </si>
  <si>
    <t>Date.StartOfMonth</t>
  </si>
  <si>
    <t>Date.StartOfQuarter</t>
  </si>
  <si>
    <t>Date.StartOfWeek</t>
  </si>
  <si>
    <t>Date.StartOfYear</t>
  </si>
  <si>
    <t>Date.ToRecord</t>
  </si>
  <si>
    <t>Date.ToText</t>
  </si>
  <si>
    <t>Date.WeekOfMonth</t>
  </si>
  <si>
    <t>DateTime.AddZone</t>
  </si>
  <si>
    <t>DateTime.Date</t>
  </si>
  <si>
    <t>DateTime.FixedLocalNow</t>
  </si>
  <si>
    <t>DateTime.Time</t>
  </si>
  <si>
    <t>DateTime.ToRecord</t>
  </si>
  <si>
    <t>DateTime.ToText</t>
  </si>
  <si>
    <t>DateTimeZone.ToRecord</t>
  </si>
  <si>
    <t>Duration.Days</t>
  </si>
  <si>
    <t>Duration.From</t>
  </si>
  <si>
    <t>Number.BitwiseAnd</t>
  </si>
  <si>
    <t>Number.BitwiseNot</t>
  </si>
  <si>
    <t>Number.BitwiseOr</t>
  </si>
  <si>
    <t>Number.BitwiseShiftLeft</t>
  </si>
  <si>
    <t>Number.BitwiseShiftRight</t>
  </si>
  <si>
    <t>Number.BitwiseXor</t>
  </si>
  <si>
    <t>Number.Combinations</t>
  </si>
  <si>
    <t>Number.Cosh</t>
  </si>
  <si>
    <t>Number.Factorial</t>
  </si>
  <si>
    <t>Number.FromText</t>
  </si>
  <si>
    <t>Number.IntegerDivide</t>
  </si>
  <si>
    <t>Number.IsEven</t>
  </si>
  <si>
    <t>Number.IsNaN</t>
  </si>
  <si>
    <t>Number.IsOdd</t>
  </si>
  <si>
    <t>Number.Ln</t>
  </si>
  <si>
    <t>Number.NaN</t>
  </si>
  <si>
    <t>Number.NegativeInfinity</t>
  </si>
  <si>
    <t>Number.Permutations</t>
  </si>
  <si>
    <t>Number.PositiveInfinity</t>
  </si>
  <si>
    <t>Number.RandomBetween</t>
  </si>
  <si>
    <t>Number.RoundAwayFromZero</t>
  </si>
  <si>
    <t>Number.RoundTowardZero</t>
  </si>
  <si>
    <t>Number.Sign</t>
  </si>
  <si>
    <t>Number.Sin</t>
  </si>
  <si>
    <t>Number.Sinh</t>
  </si>
  <si>
    <t>Number.Tanh</t>
  </si>
  <si>
    <t>Number.Type</t>
  </si>
  <si>
    <t>Table.AddIndexColumn</t>
  </si>
  <si>
    <t>Table.AddKey</t>
  </si>
  <si>
    <t>Table.AggregateTableColumn</t>
  </si>
  <si>
    <t>Table.AlternateRows</t>
  </si>
  <si>
    <t>Table.Buffer</t>
  </si>
  <si>
    <t>Table.Column</t>
  </si>
  <si>
    <t>Table.ColumnCount</t>
  </si>
  <si>
    <t>Table.CombineColumns</t>
  </si>
  <si>
    <t>Table.Contains</t>
  </si>
  <si>
    <t>Table.ContainsAll</t>
  </si>
  <si>
    <t>Table.ContainsAny</t>
  </si>
  <si>
    <t>Table.DemoteHeaders</t>
  </si>
  <si>
    <t>Table.FillDown</t>
  </si>
  <si>
    <t>Table.FillUp</t>
  </si>
  <si>
    <t>Table.FilterWithDataTable</t>
  </si>
  <si>
    <t>Table.FindText</t>
  </si>
  <si>
    <t>Table.First</t>
  </si>
  <si>
    <t>Table.FirstValue</t>
  </si>
  <si>
    <t>Table.FromColumns</t>
  </si>
  <si>
    <t>Table.FromList</t>
  </si>
  <si>
    <t>Table.FromRecords</t>
  </si>
  <si>
    <t>Table.FromRows</t>
  </si>
  <si>
    <t>Table.FromValue</t>
  </si>
  <si>
    <t>Table.FuzzyGroup</t>
  </si>
  <si>
    <t>Table.FuzzyJoin</t>
  </si>
  <si>
    <t>Table.FuzzyNestedJoin</t>
  </si>
  <si>
    <t>Table.HasColumns</t>
  </si>
  <si>
    <t>Table.InsertRows</t>
  </si>
  <si>
    <t>Table.IsDistinct</t>
  </si>
  <si>
    <t>Table.IsEmpty</t>
  </si>
  <si>
    <t>Table.Keys</t>
  </si>
  <si>
    <t>Table.Last</t>
  </si>
  <si>
    <t>Table.LastN</t>
  </si>
  <si>
    <t>Table.MatchesAllRows</t>
  </si>
  <si>
    <t>Table.MatchesAnyRows</t>
  </si>
  <si>
    <t>Table.Max</t>
  </si>
  <si>
    <t>Table.MaxN</t>
  </si>
  <si>
    <t>Table.Min</t>
  </si>
  <si>
    <t>Table.MinN</t>
  </si>
  <si>
    <t>Table.PartitionValues</t>
  </si>
  <si>
    <t>Table.PositionOf</t>
  </si>
  <si>
    <t>Table.PositionOfAny</t>
  </si>
  <si>
    <t>Table.PrefixColumns</t>
  </si>
  <si>
    <t>Table.Profile</t>
  </si>
  <si>
    <t>Table.PromoteHeaders</t>
  </si>
  <si>
    <t>Table.RemoveFirstN</t>
  </si>
  <si>
    <t>Table.RemoveLastN</t>
  </si>
  <si>
    <t>Table.RemoveMatchingRows</t>
  </si>
  <si>
    <t>Table.RemoveRows</t>
  </si>
  <si>
    <t>Table.RemoveRowsWithErrors</t>
  </si>
  <si>
    <t>Table.ReverseRows</t>
  </si>
  <si>
    <t>Table.RowCount</t>
  </si>
  <si>
    <t>Table.Schema</t>
  </si>
  <si>
    <t>Table.SelectRowsWithErrors</t>
  </si>
  <si>
    <t>Table.SingleRow</t>
  </si>
  <si>
    <t>Table.Skip</t>
  </si>
  <si>
    <t>Table.Split</t>
  </si>
  <si>
    <t>Table.SplitColumn</t>
  </si>
  <si>
    <t>Table.ToList</t>
  </si>
  <si>
    <t>Table.ToRecords</t>
  </si>
  <si>
    <t>Table.ToRows</t>
  </si>
  <si>
    <t>Table.TransformColumns</t>
  </si>
  <si>
    <t>Table.View</t>
  </si>
  <si>
    <t>Table.ViewFunction</t>
  </si>
  <si>
    <t>Text.AfterDelimiter</t>
  </si>
  <si>
    <t>Text.BeforeDelimiter</t>
  </si>
  <si>
    <t>Text.BetweenDelimiters</t>
  </si>
  <si>
    <t>Text.Clean</t>
  </si>
  <si>
    <t>Text.Format</t>
  </si>
  <si>
    <t>Text.FromBinary</t>
  </si>
  <si>
    <t>Text.InferNumberType</t>
  </si>
  <si>
    <t>Text.Insert</t>
  </si>
  <si>
    <t>Text.Middle</t>
  </si>
  <si>
    <t>Text.PadEnd</t>
  </si>
  <si>
    <t>Text.PadStart</t>
  </si>
  <si>
    <t>Text.PositionOfAny</t>
  </si>
  <si>
    <t>Text.Proper</t>
  </si>
  <si>
    <t>Text.Remove</t>
  </si>
  <si>
    <t>Text.RemoveRange</t>
  </si>
  <si>
    <t>Text.Select</t>
  </si>
  <si>
    <t>Text.Split</t>
  </si>
  <si>
    <t>Text.SplitAny</t>
  </si>
  <si>
    <t>Text.ToBinary</t>
  </si>
  <si>
    <t>Text.ToList</t>
  </si>
  <si>
    <t>Text.Type</t>
  </si>
  <si>
    <t>Time.EndOfHour</t>
  </si>
  <si>
    <t>Time.From</t>
  </si>
  <si>
    <t>Time.Hour</t>
  </si>
  <si>
    <t>Time.Minute</t>
  </si>
  <si>
    <t>Time.Second</t>
  </si>
  <si>
    <t>Time.StartOfHour</t>
  </si>
  <si>
    <t>Value.Add</t>
  </si>
  <si>
    <t>Value.Compare</t>
  </si>
  <si>
    <t>Value.Divide</t>
  </si>
  <si>
    <t>Value.FromText</t>
  </si>
  <si>
    <t>Value.Is</t>
  </si>
  <si>
    <t>Value.Metadata</t>
  </si>
  <si>
    <t>Value.Multiply</t>
  </si>
  <si>
    <t>Value.NativeQuery</t>
  </si>
  <si>
    <t>Value.Subtract</t>
  </si>
  <si>
    <t>Date.FromText</t>
  </si>
  <si>
    <t>DateTime.FromText</t>
  </si>
  <si>
    <t>DateTimeZone.From</t>
  </si>
  <si>
    <t>DateTimeZone.FromText</t>
  </si>
  <si>
    <t>DateTimeZone.RemoveZone</t>
  </si>
  <si>
    <t>DateTimeZone.SwitchZone</t>
  </si>
  <si>
    <t>DateTimeZone.ToLocal</t>
  </si>
  <si>
    <t>DateTimeZone.ToText</t>
  </si>
  <si>
    <t>DateTimeZone.ToUtc</t>
  </si>
  <si>
    <t>DateTimeZone.ZoneHours</t>
  </si>
  <si>
    <t>DateTimeZone.ZoneMinutes</t>
  </si>
  <si>
    <t>Duration.FromText</t>
  </si>
  <si>
    <t>Duration.Hours</t>
  </si>
  <si>
    <t>Duration.Minutes</t>
  </si>
  <si>
    <t>Duration.Seconds</t>
  </si>
  <si>
    <t>Duration.ToRecord</t>
  </si>
  <si>
    <t>Duration.TotalHours</t>
  </si>
  <si>
    <t>Duration.TotalMinutes</t>
  </si>
  <si>
    <t>Duration.TotalSeconds</t>
  </si>
  <si>
    <t>Duration.ToText</t>
  </si>
  <si>
    <t>List.Accumulate</t>
  </si>
  <si>
    <t>List.AllTrue</t>
  </si>
  <si>
    <t>List.Alternate</t>
  </si>
  <si>
    <t>List.AnyTrue</t>
  </si>
  <si>
    <t>List.Average</t>
  </si>
  <si>
    <t>List.Buffer</t>
  </si>
  <si>
    <t>List.ContainsAll</t>
  </si>
  <si>
    <t>List.ContainsAny</t>
  </si>
  <si>
    <t>List.Count</t>
  </si>
  <si>
    <t>List.Covariance</t>
  </si>
  <si>
    <t>List.Dates</t>
  </si>
  <si>
    <t>List.DateTimes</t>
  </si>
  <si>
    <t>List.DateTimeZones</t>
  </si>
  <si>
    <t>List.Difference</t>
  </si>
  <si>
    <t>List.Distinct</t>
  </si>
  <si>
    <t>List.Durations</t>
  </si>
  <si>
    <t>List.FindText</t>
  </si>
  <si>
    <t>List.First</t>
  </si>
  <si>
    <t>List.FirstN</t>
  </si>
  <si>
    <t>List.Generate</t>
  </si>
  <si>
    <t>List.InsertRange</t>
  </si>
  <si>
    <t>List.Intersect</t>
  </si>
  <si>
    <t>List.IsDistinct</t>
  </si>
  <si>
    <t>List.IsEmpty</t>
  </si>
  <si>
    <t>List.Last</t>
  </si>
  <si>
    <t>List.LastN</t>
  </si>
  <si>
    <t>List.MatchesAll</t>
  </si>
  <si>
    <t>List.MatchesAny</t>
  </si>
  <si>
    <t>List.Max</t>
  </si>
  <si>
    <t>List.MaxN</t>
  </si>
  <si>
    <t>List.Median</t>
  </si>
  <si>
    <t>List.Min</t>
  </si>
  <si>
    <t>List.MinN</t>
  </si>
  <si>
    <t>List.Mode</t>
  </si>
  <si>
    <t>List.Modes</t>
  </si>
  <si>
    <t>List.NonNullCount</t>
  </si>
  <si>
    <t>List.Numbers</t>
  </si>
  <si>
    <t>List.PositionOf</t>
  </si>
  <si>
    <t>List.PositionOfAny</t>
  </si>
  <si>
    <t>List.Positions</t>
  </si>
  <si>
    <t>List.Product</t>
  </si>
  <si>
    <t>List.Random</t>
  </si>
  <si>
    <t>List.Range</t>
  </si>
  <si>
    <t>List.RemoveFirstN</t>
  </si>
  <si>
    <t>List.RemoveLastN</t>
  </si>
  <si>
    <t>List.RemoveMatchingItems</t>
  </si>
  <si>
    <t>List.RemoveNulls</t>
  </si>
  <si>
    <t>List.RemoveRange</t>
  </si>
  <si>
    <t>List.Repeat</t>
  </si>
  <si>
    <t>List.ReplaceMatchingItems</t>
  </si>
  <si>
    <t>List.ReplaceRange</t>
  </si>
  <si>
    <t>List.ReplaceValue</t>
  </si>
  <si>
    <t>List.Reverse</t>
  </si>
  <si>
    <t>List.Single</t>
  </si>
  <si>
    <t>List.SingleOrDefault</t>
  </si>
  <si>
    <t>List.Skip</t>
  </si>
  <si>
    <t>List.Split</t>
  </si>
  <si>
    <t>List.StandardDeviation</t>
  </si>
  <si>
    <t>List.Sum</t>
  </si>
  <si>
    <t>List.Times</t>
  </si>
  <si>
    <t>List.Transform</t>
  </si>
  <si>
    <t>List.TransformMany</t>
  </si>
  <si>
    <t>List.Type</t>
  </si>
  <si>
    <t>List.Union</t>
  </si>
  <si>
    <t>List.Zip</t>
  </si>
  <si>
    <t>Logical.From</t>
  </si>
  <si>
    <t>Logical.FromText</t>
  </si>
  <si>
    <t>Logical.ToText</t>
  </si>
  <si>
    <t>Table.AddJoinColumn</t>
  </si>
  <si>
    <t>Table.ReplaceErrorValues</t>
  </si>
  <si>
    <t>Table.ReplaceKeys</t>
  </si>
  <si>
    <t>Table.ReplaceMatchingRows</t>
  </si>
  <si>
    <t>Table.ReplaceRelationshipIdentity</t>
  </si>
  <si>
    <t>Table.ReplaceRows</t>
  </si>
  <si>
    <t>Table.ToColumns</t>
  </si>
  <si>
    <t>Table.TransformColumnTypes</t>
  </si>
  <si>
    <t>Table.TransformRows</t>
  </si>
  <si>
    <t>Time.FromText</t>
  </si>
  <si>
    <t>Time.ToRecord</t>
  </si>
  <si>
    <t>Time.ToText</t>
  </si>
  <si>
    <t>Value.Firewall</t>
  </si>
  <si>
    <t>Value.NullableEquals</t>
  </si>
  <si>
    <t>Value.RemoveMetadata</t>
  </si>
  <si>
    <t>Value.ReplaceMetadata</t>
  </si>
  <si>
    <t>Value.ReplaceType</t>
  </si>
  <si>
    <t>Value.ResourceExpression</t>
  </si>
  <si>
    <t>Character.FromNumber</t>
  </si>
  <si>
    <t>CHAR</t>
  </si>
  <si>
    <t>Text.PositionOf</t>
  </si>
  <si>
    <t>CHARINDEX</t>
  </si>
  <si>
    <t>Date.DayOfWeekName</t>
  </si>
  <si>
    <t>DATENAME</t>
  </si>
  <si>
    <t>Text.Repeat</t>
  </si>
  <si>
    <t>REPLICATE</t>
  </si>
  <si>
    <t>Text.Reverse</t>
  </si>
  <si>
    <t>REVERSE</t>
  </si>
  <si>
    <t>Text.ReplaceRange</t>
  </si>
  <si>
    <t>STUFF</t>
  </si>
  <si>
    <t>Text.At</t>
  </si>
  <si>
    <t>SUBSTRING</t>
  </si>
  <si>
    <t>Text.Range</t>
  </si>
  <si>
    <t>difference</t>
  </si>
  <si>
    <t>a</t>
  </si>
  <si>
    <t>c</t>
  </si>
  <si>
    <t>d</t>
  </si>
  <si>
    <t>DTR</t>
  </si>
  <si>
    <t>MER</t>
  </si>
  <si>
    <t>SIN</t>
  </si>
  <si>
    <t>COS</t>
  </si>
  <si>
    <t>COSLONG</t>
  </si>
  <si>
    <t>km</t>
  </si>
  <si>
    <t>miles</t>
  </si>
  <si>
    <t>Invoked Function</t>
  </si>
  <si>
    <t>lat2</t>
  </si>
  <si>
    <t>lon2</t>
  </si>
  <si>
    <t>lat</t>
  </si>
  <si>
    <t>long</t>
  </si>
  <si>
    <t>bearing</t>
  </si>
  <si>
    <t>distance</t>
  </si>
  <si>
    <t>dec</t>
  </si>
  <si>
    <t>radians</t>
  </si>
  <si>
    <t>converted</t>
  </si>
  <si>
    <t>rad_earth</t>
  </si>
  <si>
    <t>LAT</t>
  </si>
  <si>
    <t>LONG</t>
  </si>
  <si>
    <t>Measure</t>
  </si>
  <si>
    <t>[List]</t>
  </si>
  <si>
    <t>Destination</t>
  </si>
  <si>
    <t>Destination.1</t>
  </si>
  <si>
    <t>Destination.2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</si>
</sst>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NumberFormat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7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8" Type="http://schemas.openxmlformats.org/officeDocument/2006/relationships/worksheet" Target="worksheets/sheet8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1" xr16:uid="{29E005A1-734B-41DD-BDB1-75AF3960085B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Supports Query Folding" tableColumnId="2"/>
      <queryTableField id="3" name="SQL Equivalent" tableColumnId="3"/>
    </queryTableFields>
  </queryTableRefresh>
  <extLst>
    <ext xmlns:x15="http://schemas.microsoft.com/office/spreadsheetml/2010/11/main" uri="{883FBD77-0823-4a55-B5E3-86C4891E6966}">
      <x15:queryTable sourceDataName="Query - QueryFolding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72F63E33-ED6F-4E12-A224-77DCE32F85D8}" autoFormatId="16" applyNumberFormats="0" applyBorderFormats="0" applyFontFormats="0" applyPatternFormats="0" applyAlignmentFormats="0" applyWidthHeightFormats="0">
  <queryTableRefresh nextId="7">
    <queryTableFields count="5">
      <queryTableField id="1" name="lat" tableColumnId="1"/>
      <queryTableField id="2" name="long" tableColumnId="2"/>
      <queryTableField id="3" name="bearing" tableColumnId="3"/>
      <queryTableField id="4" name="distance" tableColumnId="4"/>
      <queryTableField id="6" name="Destination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8D08F20-8ABA-49F7-815F-9C62AB1DDFC4}" autoFormatId="16" applyNumberFormats="0" applyBorderFormats="0" applyFontFormats="0" applyPatternFormats="0" applyAlignmentFormats="0" applyWidthHeightFormats="0">
  <queryTableRefresh nextId="7">
    <queryTableFields count="6">
      <queryTableField id="1" name="lat" tableColumnId="1"/>
      <queryTableField id="2" name="long" tableColumnId="2"/>
      <queryTableField id="3" name="distance" tableColumnId="3"/>
      <queryTableField id="4" name="bearing" tableColumnId="4"/>
      <queryTableField id="5" name="Destination.1" tableColumnId="5"/>
      <queryTableField id="6" name="Destination.2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48D272B-5A79-4D47-8383-91FBA2CE5D41}" name="QueryFolding" displayName="QueryFolding" ref="A1:C268" tableType="queryTable" totalsRowShown="0">
  <autoFilter ref="A1:C268" xr:uid="{348D272B-5A79-4D47-8383-91FBA2CE5D41}"/>
  <tableColumns count="3">
    <tableColumn id="1" xr3:uid="{B480ECB7-4F39-4FAC-BD18-5B2948E43117}" uniqueName="1" name="Name" queryTableFieldId="1" dataDxfId="1"/>
    <tableColumn id="2" xr3:uid="{DEDDC51E-3987-4B5D-BB07-9713EE6D40A9}" uniqueName="2" name="Supports Query Folding" queryTableFieldId="2"/>
    <tableColumn id="3" xr3:uid="{C41AD81B-2989-4039-B90B-F5C0AE7FF1EC}" uniqueName="3" name="SQL Equivalent" queryTableFieldId="3" dataDxfId="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2B2DB5-FEFE-466D-A2CE-14FD50DE3FE5}" name="Invoked_Function" displayName="Invoked_Function" ref="A1:A2" totalsRowShown="0">
  <autoFilter ref="A1:A2" xr:uid="{762B2DB5-FEFE-466D-A2CE-14FD50DE3FE5}"/>
  <tableColumns count="1">
    <tableColumn id="1" xr3:uid="{C16C88E3-BFD5-44D2-A7B1-ABE8402C9107}" name="Invoked Functio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78F4B6D-13D8-4E76-B839-9664491C0F7A}" name="Invoked_Function_2" displayName="Invoked_Function_2" ref="A1:A2" totalsRowShown="0">
  <autoFilter ref="A1:A2" xr:uid="{A78F4B6D-13D8-4E76-B839-9664491C0F7A}"/>
  <tableColumns count="1">
    <tableColumn id="1" xr3:uid="{E427D17D-D5D2-44DF-9087-4F3C682BBE7D}" name="Invoked Function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77B52CF-7E87-4507-BE98-1B9FA8EE6423}" name="Table" displayName="Table" ref="A1:E2" tableType="queryTable" totalsRowShown="0">
  <autoFilter ref="A1:E2" xr:uid="{877B52CF-7E87-4507-BE98-1B9FA8EE6423}"/>
  <tableColumns count="5">
    <tableColumn id="1" xr3:uid="{4019DBB8-48C6-443A-836D-50741DE6FC50}" uniqueName="1" name="lat" queryTableFieldId="1"/>
    <tableColumn id="2" xr3:uid="{BA1246B6-EB46-4784-80CA-8C27FA3808A7}" uniqueName="2" name="long" queryTableFieldId="2"/>
    <tableColumn id="3" xr3:uid="{79326BCE-5CAB-4A23-81F6-2C8291E06DFA}" uniqueName="3" name="bearing" queryTableFieldId="3"/>
    <tableColumn id="4" xr3:uid="{015A7392-6D36-4483-8760-5FAEAF03DB60}" uniqueName="4" name="distance" queryTableFieldId="4"/>
    <tableColumn id="6" xr3:uid="{16C02FDC-776B-45DD-B742-D25529E8F48D}" uniqueName="6" name="Destination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A646FB-E032-443B-ACF1-E7E75DE06CA6}" name="Table__2" displayName="Table__2" ref="A1:F362" tableType="queryTable" totalsRowShown="0">
  <autoFilter ref="A1:F362" xr:uid="{05A646FB-E032-443B-ACF1-E7E75DE06CA6}"/>
  <tableColumns count="6">
    <tableColumn id="1" xr3:uid="{5F3206DD-00B0-43CB-8616-B7A7C6C7F3C2}" uniqueName="1" name="lat" queryTableFieldId="1"/>
    <tableColumn id="2" xr3:uid="{32C042DA-42FE-44ED-B651-7044ED8B9983}" uniqueName="2" name="long" queryTableFieldId="2"/>
    <tableColumn id="3" xr3:uid="{C86B94EC-D00B-4252-8F12-2FC4C58576CC}" uniqueName="3" name="distance" queryTableFieldId="3"/>
    <tableColumn id="4" xr3:uid="{7574A793-2D12-424A-B7A3-C715D66DDC12}" uniqueName="4" name="bearing" queryTableFieldId="4"/>
    <tableColumn id="5" xr3:uid="{FDEBEE68-D451-4EB2-991D-FD2390830576}" uniqueName="5" name="Destination.1" queryTableFieldId="5"/>
    <tableColumn id="6" xr3:uid="{97AFDFC4-B4AF-4557-A872-90C410B2A360}" uniqueName="6" name="Destination.2" queryTableFieldId="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8E7126-1913-4003-9F88-4357D2802A45}" name="Table6" displayName="Table6" ref="A1:C6" totalsRowShown="0">
  <autoFilter ref="A1:C6" xr:uid="{478E7126-1913-4003-9F88-4357D2802A45}"/>
  <tableColumns count="3">
    <tableColumn id="1" xr3:uid="{5192845C-4BAE-4C03-AAF7-120874011A6E}" name="Measure"/>
    <tableColumn id="2" xr3:uid="{340A557E-8D80-4D45-89B3-47FE6B2C5557}" name="dec"/>
    <tableColumn id="3" xr3:uid="{A8CECBD3-7826-4004-BCEF-7E3198998243}" name="radia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9785D-5249-48B9-8B99-386F89891078}">
  <sheetPr codeName="Sheet3"/>
  <dimension ref="A1:C268"/>
  <sheetViews>
    <sheetView workbookViewId="0">
      <selection sqref="A1:C268"/>
    </sheetView>
  </sheetViews>
  <sheetFormatPr defaultRowHeight="14.4" x14ac:dyDescent="0.3"/>
  <cols>
    <col min="1" max="1" width="29.109375" bestFit="1" customWidth="1"/>
    <col min="2" max="2" width="23.109375" bestFit="1" customWidth="1"/>
    <col min="3" max="3" width="15.88671875" bestFit="1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s="1" t="s">
        <v>3</v>
      </c>
      <c r="B2" t="b">
        <v>0</v>
      </c>
      <c r="C2" s="1"/>
    </row>
    <row r="3" spans="1:3" x14ac:dyDescent="0.3">
      <c r="A3" s="1" t="s">
        <v>4</v>
      </c>
      <c r="B3" t="b">
        <v>0</v>
      </c>
      <c r="C3" s="1"/>
    </row>
    <row r="4" spans="1:3" x14ac:dyDescent="0.3">
      <c r="A4" s="1" t="s">
        <v>5</v>
      </c>
      <c r="B4" t="b">
        <v>0</v>
      </c>
      <c r="C4" s="1"/>
    </row>
    <row r="5" spans="1:3" x14ac:dyDescent="0.3">
      <c r="A5" s="1" t="s">
        <v>6</v>
      </c>
      <c r="B5" t="b">
        <v>0</v>
      </c>
      <c r="C5" s="1"/>
    </row>
    <row r="6" spans="1:3" x14ac:dyDescent="0.3">
      <c r="A6" s="1" t="s">
        <v>7</v>
      </c>
      <c r="B6" t="b">
        <v>0</v>
      </c>
      <c r="C6" s="1"/>
    </row>
    <row r="7" spans="1:3" x14ac:dyDescent="0.3">
      <c r="A7" s="1" t="s">
        <v>8</v>
      </c>
      <c r="B7" t="b">
        <v>0</v>
      </c>
      <c r="C7" s="1"/>
    </row>
    <row r="8" spans="1:3" x14ac:dyDescent="0.3">
      <c r="A8" s="1" t="s">
        <v>9</v>
      </c>
      <c r="B8" t="b">
        <v>0</v>
      </c>
      <c r="C8" s="1"/>
    </row>
    <row r="9" spans="1:3" x14ac:dyDescent="0.3">
      <c r="A9" s="1" t="s">
        <v>10</v>
      </c>
      <c r="B9" t="b">
        <v>0</v>
      </c>
      <c r="C9" s="1"/>
    </row>
    <row r="10" spans="1:3" x14ac:dyDescent="0.3">
      <c r="A10" s="1" t="s">
        <v>11</v>
      </c>
      <c r="B10" t="b">
        <v>0</v>
      </c>
      <c r="C10" s="1"/>
    </row>
    <row r="11" spans="1:3" x14ac:dyDescent="0.3">
      <c r="A11" s="1" t="s">
        <v>12</v>
      </c>
      <c r="B11" t="b">
        <v>0</v>
      </c>
      <c r="C11" s="1"/>
    </row>
    <row r="12" spans="1:3" x14ac:dyDescent="0.3">
      <c r="A12" s="1" t="s">
        <v>13</v>
      </c>
      <c r="B12" t="b">
        <v>0</v>
      </c>
      <c r="C12" s="1"/>
    </row>
    <row r="13" spans="1:3" x14ac:dyDescent="0.3">
      <c r="A13" s="1" t="s">
        <v>14</v>
      </c>
      <c r="B13" t="b">
        <v>0</v>
      </c>
      <c r="C13" s="1"/>
    </row>
    <row r="14" spans="1:3" x14ac:dyDescent="0.3">
      <c r="A14" s="1" t="s">
        <v>15</v>
      </c>
      <c r="B14" t="b">
        <v>0</v>
      </c>
      <c r="C14" s="1"/>
    </row>
    <row r="15" spans="1:3" x14ac:dyDescent="0.3">
      <c r="A15" s="1" t="s">
        <v>16</v>
      </c>
      <c r="B15" t="b">
        <v>0</v>
      </c>
      <c r="C15" s="1"/>
    </row>
    <row r="16" spans="1:3" x14ac:dyDescent="0.3">
      <c r="A16" s="1" t="s">
        <v>17</v>
      </c>
      <c r="B16" t="b">
        <v>0</v>
      </c>
      <c r="C16" s="1"/>
    </row>
    <row r="17" spans="1:3" x14ac:dyDescent="0.3">
      <c r="A17" s="1" t="s">
        <v>18</v>
      </c>
      <c r="B17" t="b">
        <v>0</v>
      </c>
      <c r="C17" s="1"/>
    </row>
    <row r="18" spans="1:3" x14ac:dyDescent="0.3">
      <c r="A18" s="1" t="s">
        <v>19</v>
      </c>
      <c r="B18" t="b">
        <v>0</v>
      </c>
      <c r="C18" s="1"/>
    </row>
    <row r="19" spans="1:3" x14ac:dyDescent="0.3">
      <c r="A19" s="1" t="s">
        <v>20</v>
      </c>
      <c r="B19" t="b">
        <v>0</v>
      </c>
      <c r="C19" s="1"/>
    </row>
    <row r="20" spans="1:3" x14ac:dyDescent="0.3">
      <c r="A20" s="1" t="s">
        <v>21</v>
      </c>
      <c r="B20" t="b">
        <v>0</v>
      </c>
      <c r="C20" s="1"/>
    </row>
    <row r="21" spans="1:3" x14ac:dyDescent="0.3">
      <c r="A21" s="1" t="s">
        <v>22</v>
      </c>
      <c r="B21" t="b">
        <v>0</v>
      </c>
      <c r="C21" s="1"/>
    </row>
    <row r="22" spans="1:3" x14ac:dyDescent="0.3">
      <c r="A22" s="1" t="s">
        <v>23</v>
      </c>
      <c r="B22" t="b">
        <v>0</v>
      </c>
      <c r="C22" s="1"/>
    </row>
    <row r="23" spans="1:3" x14ac:dyDescent="0.3">
      <c r="A23" s="1" t="s">
        <v>24</v>
      </c>
      <c r="B23" t="b">
        <v>0</v>
      </c>
      <c r="C23" s="1"/>
    </row>
    <row r="24" spans="1:3" x14ac:dyDescent="0.3">
      <c r="A24" s="1" t="s">
        <v>25</v>
      </c>
      <c r="B24" t="b">
        <v>0</v>
      </c>
      <c r="C24" s="1"/>
    </row>
    <row r="25" spans="1:3" x14ac:dyDescent="0.3">
      <c r="A25" s="1" t="s">
        <v>26</v>
      </c>
      <c r="B25" t="b">
        <v>0</v>
      </c>
      <c r="C25" s="1"/>
    </row>
    <row r="26" spans="1:3" x14ac:dyDescent="0.3">
      <c r="A26" s="1" t="s">
        <v>27</v>
      </c>
      <c r="B26" t="b">
        <v>0</v>
      </c>
      <c r="C26" s="1"/>
    </row>
    <row r="27" spans="1:3" x14ac:dyDescent="0.3">
      <c r="A27" s="1" t="s">
        <v>28</v>
      </c>
      <c r="B27" t="b">
        <v>0</v>
      </c>
      <c r="C27" s="1"/>
    </row>
    <row r="28" spans="1:3" x14ac:dyDescent="0.3">
      <c r="A28" s="1" t="s">
        <v>29</v>
      </c>
      <c r="B28" t="b">
        <v>0</v>
      </c>
      <c r="C28" s="1"/>
    </row>
    <row r="29" spans="1:3" x14ac:dyDescent="0.3">
      <c r="A29" s="1" t="s">
        <v>30</v>
      </c>
      <c r="B29" t="b">
        <v>0</v>
      </c>
      <c r="C29" s="1"/>
    </row>
    <row r="30" spans="1:3" x14ac:dyDescent="0.3">
      <c r="A30" s="1" t="s">
        <v>31</v>
      </c>
      <c r="B30" t="b">
        <v>0</v>
      </c>
      <c r="C30" s="1"/>
    </row>
    <row r="31" spans="1:3" x14ac:dyDescent="0.3">
      <c r="A31" s="1" t="s">
        <v>32</v>
      </c>
      <c r="B31" t="b">
        <v>0</v>
      </c>
      <c r="C31" s="1"/>
    </row>
    <row r="32" spans="1:3" x14ac:dyDescent="0.3">
      <c r="A32" s="1" t="s">
        <v>33</v>
      </c>
      <c r="B32" t="b">
        <v>0</v>
      </c>
      <c r="C32" s="1"/>
    </row>
    <row r="33" spans="1:3" x14ac:dyDescent="0.3">
      <c r="A33" s="1" t="s">
        <v>34</v>
      </c>
      <c r="B33" t="b">
        <v>0</v>
      </c>
      <c r="C33" s="1"/>
    </row>
    <row r="34" spans="1:3" x14ac:dyDescent="0.3">
      <c r="A34" s="1" t="s">
        <v>35</v>
      </c>
      <c r="B34" t="b">
        <v>0</v>
      </c>
      <c r="C34" s="1"/>
    </row>
    <row r="35" spans="1:3" x14ac:dyDescent="0.3">
      <c r="A35" s="1" t="s">
        <v>36</v>
      </c>
      <c r="B35" t="b">
        <v>0</v>
      </c>
      <c r="C35" s="1"/>
    </row>
    <row r="36" spans="1:3" x14ac:dyDescent="0.3">
      <c r="A36" s="1" t="s">
        <v>37</v>
      </c>
      <c r="B36" t="b">
        <v>0</v>
      </c>
      <c r="C36" s="1"/>
    </row>
    <row r="37" spans="1:3" x14ac:dyDescent="0.3">
      <c r="A37" s="1" t="s">
        <v>38</v>
      </c>
      <c r="B37" t="b">
        <v>0</v>
      </c>
      <c r="C37" s="1"/>
    </row>
    <row r="38" spans="1:3" x14ac:dyDescent="0.3">
      <c r="A38" s="1" t="s">
        <v>39</v>
      </c>
      <c r="B38" t="b">
        <v>0</v>
      </c>
      <c r="C38" s="1"/>
    </row>
    <row r="39" spans="1:3" x14ac:dyDescent="0.3">
      <c r="A39" s="1" t="s">
        <v>40</v>
      </c>
      <c r="B39" t="b">
        <v>0</v>
      </c>
      <c r="C39" s="1"/>
    </row>
    <row r="40" spans="1:3" x14ac:dyDescent="0.3">
      <c r="A40" s="1" t="s">
        <v>41</v>
      </c>
      <c r="B40" t="b">
        <v>0</v>
      </c>
      <c r="C40" s="1"/>
    </row>
    <row r="41" spans="1:3" x14ac:dyDescent="0.3">
      <c r="A41" s="1" t="s">
        <v>42</v>
      </c>
      <c r="B41" t="b">
        <v>0</v>
      </c>
      <c r="C41" s="1"/>
    </row>
    <row r="42" spans="1:3" x14ac:dyDescent="0.3">
      <c r="A42" s="1" t="s">
        <v>43</v>
      </c>
      <c r="B42" t="b">
        <v>0</v>
      </c>
      <c r="C42" s="1"/>
    </row>
    <row r="43" spans="1:3" x14ac:dyDescent="0.3">
      <c r="A43" s="1" t="s">
        <v>44</v>
      </c>
      <c r="B43" t="b">
        <v>0</v>
      </c>
      <c r="C43" s="1"/>
    </row>
    <row r="44" spans="1:3" x14ac:dyDescent="0.3">
      <c r="A44" s="1" t="s">
        <v>45</v>
      </c>
      <c r="B44" t="b">
        <v>0</v>
      </c>
      <c r="C44" s="1"/>
    </row>
    <row r="45" spans="1:3" x14ac:dyDescent="0.3">
      <c r="A45" s="1" t="s">
        <v>46</v>
      </c>
      <c r="B45" t="b">
        <v>0</v>
      </c>
      <c r="C45" s="1"/>
    </row>
    <row r="46" spans="1:3" x14ac:dyDescent="0.3">
      <c r="A46" s="1" t="s">
        <v>47</v>
      </c>
      <c r="B46" t="b">
        <v>0</v>
      </c>
      <c r="C46" s="1"/>
    </row>
    <row r="47" spans="1:3" x14ac:dyDescent="0.3">
      <c r="A47" s="1" t="s">
        <v>48</v>
      </c>
      <c r="B47" t="b">
        <v>0</v>
      </c>
      <c r="C47" s="1"/>
    </row>
    <row r="48" spans="1:3" x14ac:dyDescent="0.3">
      <c r="A48" s="1" t="s">
        <v>49</v>
      </c>
      <c r="B48" t="b">
        <v>0</v>
      </c>
      <c r="C48" s="1"/>
    </row>
    <row r="49" spans="1:3" x14ac:dyDescent="0.3">
      <c r="A49" s="1" t="s">
        <v>50</v>
      </c>
      <c r="B49" t="b">
        <v>0</v>
      </c>
      <c r="C49" s="1"/>
    </row>
    <row r="50" spans="1:3" x14ac:dyDescent="0.3">
      <c r="A50" s="1" t="s">
        <v>51</v>
      </c>
      <c r="B50" t="b">
        <v>0</v>
      </c>
      <c r="C50" s="1"/>
    </row>
    <row r="51" spans="1:3" x14ac:dyDescent="0.3">
      <c r="A51" s="1" t="s">
        <v>52</v>
      </c>
      <c r="B51" t="b">
        <v>0</v>
      </c>
      <c r="C51" s="1"/>
    </row>
    <row r="52" spans="1:3" x14ac:dyDescent="0.3">
      <c r="A52" s="1" t="s">
        <v>53</v>
      </c>
      <c r="B52" t="b">
        <v>0</v>
      </c>
      <c r="C52" s="1"/>
    </row>
    <row r="53" spans="1:3" x14ac:dyDescent="0.3">
      <c r="A53" s="1" t="s">
        <v>54</v>
      </c>
      <c r="B53" t="b">
        <v>0</v>
      </c>
      <c r="C53" s="1"/>
    </row>
    <row r="54" spans="1:3" x14ac:dyDescent="0.3">
      <c r="A54" s="1" t="s">
        <v>55</v>
      </c>
      <c r="B54" t="b">
        <v>0</v>
      </c>
      <c r="C54" s="1"/>
    </row>
    <row r="55" spans="1:3" x14ac:dyDescent="0.3">
      <c r="A55" s="1" t="s">
        <v>56</v>
      </c>
      <c r="B55" t="b">
        <v>0</v>
      </c>
      <c r="C55" s="1"/>
    </row>
    <row r="56" spans="1:3" x14ac:dyDescent="0.3">
      <c r="A56" s="1" t="s">
        <v>57</v>
      </c>
      <c r="B56" t="b">
        <v>0</v>
      </c>
      <c r="C56" s="1"/>
    </row>
    <row r="57" spans="1:3" x14ac:dyDescent="0.3">
      <c r="A57" s="1" t="s">
        <v>58</v>
      </c>
      <c r="B57" t="b">
        <v>0</v>
      </c>
      <c r="C57" s="1"/>
    </row>
    <row r="58" spans="1:3" x14ac:dyDescent="0.3">
      <c r="A58" s="1" t="s">
        <v>59</v>
      </c>
      <c r="B58" t="b">
        <v>0</v>
      </c>
      <c r="C58" s="1"/>
    </row>
    <row r="59" spans="1:3" x14ac:dyDescent="0.3">
      <c r="A59" s="1" t="s">
        <v>60</v>
      </c>
      <c r="B59" t="b">
        <v>0</v>
      </c>
      <c r="C59" s="1"/>
    </row>
    <row r="60" spans="1:3" x14ac:dyDescent="0.3">
      <c r="A60" s="1" t="s">
        <v>61</v>
      </c>
      <c r="B60" t="b">
        <v>0</v>
      </c>
      <c r="C60" s="1"/>
    </row>
    <row r="61" spans="1:3" x14ac:dyDescent="0.3">
      <c r="A61" s="1" t="s">
        <v>62</v>
      </c>
      <c r="B61" t="b">
        <v>0</v>
      </c>
      <c r="C61" s="1"/>
    </row>
    <row r="62" spans="1:3" x14ac:dyDescent="0.3">
      <c r="A62" s="1" t="s">
        <v>63</v>
      </c>
      <c r="B62" t="b">
        <v>0</v>
      </c>
      <c r="C62" s="1"/>
    </row>
    <row r="63" spans="1:3" x14ac:dyDescent="0.3">
      <c r="A63" s="1" t="s">
        <v>64</v>
      </c>
      <c r="B63" t="b">
        <v>0</v>
      </c>
      <c r="C63" s="1"/>
    </row>
    <row r="64" spans="1:3" x14ac:dyDescent="0.3">
      <c r="A64" s="1" t="s">
        <v>65</v>
      </c>
      <c r="B64" t="b">
        <v>0</v>
      </c>
      <c r="C64" s="1"/>
    </row>
    <row r="65" spans="1:3" x14ac:dyDescent="0.3">
      <c r="A65" s="1" t="s">
        <v>66</v>
      </c>
      <c r="B65" t="b">
        <v>0</v>
      </c>
      <c r="C65" s="1"/>
    </row>
    <row r="66" spans="1:3" x14ac:dyDescent="0.3">
      <c r="A66" s="1" t="s">
        <v>67</v>
      </c>
      <c r="B66" t="b">
        <v>0</v>
      </c>
      <c r="C66" s="1"/>
    </row>
    <row r="67" spans="1:3" x14ac:dyDescent="0.3">
      <c r="A67" s="1" t="s">
        <v>68</v>
      </c>
      <c r="B67" t="b">
        <v>0</v>
      </c>
      <c r="C67" s="1"/>
    </row>
    <row r="68" spans="1:3" x14ac:dyDescent="0.3">
      <c r="A68" s="1" t="s">
        <v>69</v>
      </c>
      <c r="B68" t="b">
        <v>0</v>
      </c>
      <c r="C68" s="1"/>
    </row>
    <row r="69" spans="1:3" x14ac:dyDescent="0.3">
      <c r="A69" s="1" t="s">
        <v>70</v>
      </c>
      <c r="B69" t="b">
        <v>0</v>
      </c>
      <c r="C69" s="1"/>
    </row>
    <row r="70" spans="1:3" x14ac:dyDescent="0.3">
      <c r="A70" s="1" t="s">
        <v>71</v>
      </c>
      <c r="B70" t="b">
        <v>0</v>
      </c>
      <c r="C70" s="1"/>
    </row>
    <row r="71" spans="1:3" x14ac:dyDescent="0.3">
      <c r="A71" s="1" t="s">
        <v>72</v>
      </c>
      <c r="B71" t="b">
        <v>0</v>
      </c>
      <c r="C71" s="1"/>
    </row>
    <row r="72" spans="1:3" x14ac:dyDescent="0.3">
      <c r="A72" s="1" t="s">
        <v>73</v>
      </c>
      <c r="B72" t="b">
        <v>0</v>
      </c>
      <c r="C72" s="1"/>
    </row>
    <row r="73" spans="1:3" x14ac:dyDescent="0.3">
      <c r="A73" s="1" t="s">
        <v>74</v>
      </c>
      <c r="B73" t="b">
        <v>0</v>
      </c>
      <c r="C73" s="1"/>
    </row>
    <row r="74" spans="1:3" x14ac:dyDescent="0.3">
      <c r="A74" s="1" t="s">
        <v>75</v>
      </c>
      <c r="B74" t="b">
        <v>0</v>
      </c>
      <c r="C74" s="1"/>
    </row>
    <row r="75" spans="1:3" x14ac:dyDescent="0.3">
      <c r="A75" s="1" t="s">
        <v>76</v>
      </c>
      <c r="B75" t="b">
        <v>0</v>
      </c>
      <c r="C75" s="1"/>
    </row>
    <row r="76" spans="1:3" x14ac:dyDescent="0.3">
      <c r="A76" s="1" t="s">
        <v>77</v>
      </c>
      <c r="B76" t="b">
        <v>0</v>
      </c>
      <c r="C76" s="1"/>
    </row>
    <row r="77" spans="1:3" x14ac:dyDescent="0.3">
      <c r="A77" s="1" t="s">
        <v>78</v>
      </c>
      <c r="B77" t="b">
        <v>0</v>
      </c>
      <c r="C77" s="1"/>
    </row>
    <row r="78" spans="1:3" x14ac:dyDescent="0.3">
      <c r="A78" s="1" t="s">
        <v>79</v>
      </c>
      <c r="B78" t="b">
        <v>0</v>
      </c>
      <c r="C78" s="1"/>
    </row>
    <row r="79" spans="1:3" x14ac:dyDescent="0.3">
      <c r="A79" s="1" t="s">
        <v>80</v>
      </c>
      <c r="B79" t="b">
        <v>0</v>
      </c>
      <c r="C79" s="1"/>
    </row>
    <row r="80" spans="1:3" x14ac:dyDescent="0.3">
      <c r="A80" s="1" t="s">
        <v>81</v>
      </c>
      <c r="B80" t="b">
        <v>0</v>
      </c>
      <c r="C80" s="1"/>
    </row>
    <row r="81" spans="1:3" x14ac:dyDescent="0.3">
      <c r="A81" s="1" t="s">
        <v>82</v>
      </c>
      <c r="B81" t="b">
        <v>0</v>
      </c>
      <c r="C81" s="1"/>
    </row>
    <row r="82" spans="1:3" x14ac:dyDescent="0.3">
      <c r="A82" s="1" t="s">
        <v>83</v>
      </c>
      <c r="B82" t="b">
        <v>0</v>
      </c>
      <c r="C82" s="1"/>
    </row>
    <row r="83" spans="1:3" x14ac:dyDescent="0.3">
      <c r="A83" s="1" t="s">
        <v>84</v>
      </c>
      <c r="B83" t="b">
        <v>0</v>
      </c>
      <c r="C83" s="1"/>
    </row>
    <row r="84" spans="1:3" x14ac:dyDescent="0.3">
      <c r="A84" s="1" t="s">
        <v>85</v>
      </c>
      <c r="B84" t="b">
        <v>0</v>
      </c>
      <c r="C84" s="1"/>
    </row>
    <row r="85" spans="1:3" x14ac:dyDescent="0.3">
      <c r="A85" s="1" t="s">
        <v>86</v>
      </c>
      <c r="B85" t="b">
        <v>0</v>
      </c>
      <c r="C85" s="1"/>
    </row>
    <row r="86" spans="1:3" x14ac:dyDescent="0.3">
      <c r="A86" s="1" t="s">
        <v>87</v>
      </c>
      <c r="B86" t="b">
        <v>0</v>
      </c>
      <c r="C86" s="1"/>
    </row>
    <row r="87" spans="1:3" x14ac:dyDescent="0.3">
      <c r="A87" s="1" t="s">
        <v>88</v>
      </c>
      <c r="B87" t="b">
        <v>0</v>
      </c>
      <c r="C87" s="1"/>
    </row>
    <row r="88" spans="1:3" x14ac:dyDescent="0.3">
      <c r="A88" s="1" t="s">
        <v>89</v>
      </c>
      <c r="B88" t="b">
        <v>0</v>
      </c>
      <c r="C88" s="1"/>
    </row>
    <row r="89" spans="1:3" x14ac:dyDescent="0.3">
      <c r="A89" s="1" t="s">
        <v>90</v>
      </c>
      <c r="B89" t="b">
        <v>0</v>
      </c>
      <c r="C89" s="1"/>
    </row>
    <row r="90" spans="1:3" x14ac:dyDescent="0.3">
      <c r="A90" s="1" t="s">
        <v>91</v>
      </c>
      <c r="B90" t="b">
        <v>0</v>
      </c>
      <c r="C90" s="1"/>
    </row>
    <row r="91" spans="1:3" x14ac:dyDescent="0.3">
      <c r="A91" s="1" t="s">
        <v>92</v>
      </c>
      <c r="B91" t="b">
        <v>0</v>
      </c>
      <c r="C91" s="1"/>
    </row>
    <row r="92" spans="1:3" x14ac:dyDescent="0.3">
      <c r="A92" s="1" t="s">
        <v>93</v>
      </c>
      <c r="B92" t="b">
        <v>0</v>
      </c>
      <c r="C92" s="1"/>
    </row>
    <row r="93" spans="1:3" x14ac:dyDescent="0.3">
      <c r="A93" s="1" t="s">
        <v>94</v>
      </c>
      <c r="B93" t="b">
        <v>0</v>
      </c>
      <c r="C93" s="1"/>
    </row>
    <row r="94" spans="1:3" x14ac:dyDescent="0.3">
      <c r="A94" s="1" t="s">
        <v>95</v>
      </c>
      <c r="B94" t="b">
        <v>0</v>
      </c>
      <c r="C94" s="1"/>
    </row>
    <row r="95" spans="1:3" x14ac:dyDescent="0.3">
      <c r="A95" s="1" t="s">
        <v>96</v>
      </c>
      <c r="B95" t="b">
        <v>0</v>
      </c>
      <c r="C95" s="1"/>
    </row>
    <row r="96" spans="1:3" x14ac:dyDescent="0.3">
      <c r="A96" s="1" t="s">
        <v>97</v>
      </c>
      <c r="B96" t="b">
        <v>0</v>
      </c>
      <c r="C96" s="1"/>
    </row>
    <row r="97" spans="1:3" x14ac:dyDescent="0.3">
      <c r="A97" s="1" t="s">
        <v>98</v>
      </c>
      <c r="B97" t="b">
        <v>0</v>
      </c>
      <c r="C97" s="1"/>
    </row>
    <row r="98" spans="1:3" x14ac:dyDescent="0.3">
      <c r="A98" s="1" t="s">
        <v>99</v>
      </c>
      <c r="B98" t="b">
        <v>0</v>
      </c>
      <c r="C98" s="1"/>
    </row>
    <row r="99" spans="1:3" x14ac:dyDescent="0.3">
      <c r="A99" s="1" t="s">
        <v>100</v>
      </c>
      <c r="B99" t="b">
        <v>0</v>
      </c>
      <c r="C99" s="1"/>
    </row>
    <row r="100" spans="1:3" x14ac:dyDescent="0.3">
      <c r="A100" s="1" t="s">
        <v>101</v>
      </c>
      <c r="B100" t="b">
        <v>0</v>
      </c>
      <c r="C100" s="1"/>
    </row>
    <row r="101" spans="1:3" x14ac:dyDescent="0.3">
      <c r="A101" s="1" t="s">
        <v>102</v>
      </c>
      <c r="B101" t="b">
        <v>0</v>
      </c>
      <c r="C101" s="1"/>
    </row>
    <row r="102" spans="1:3" x14ac:dyDescent="0.3">
      <c r="A102" s="1" t="s">
        <v>103</v>
      </c>
      <c r="B102" t="b">
        <v>0</v>
      </c>
      <c r="C102" s="1"/>
    </row>
    <row r="103" spans="1:3" x14ac:dyDescent="0.3">
      <c r="A103" s="1" t="s">
        <v>104</v>
      </c>
      <c r="B103" t="b">
        <v>0</v>
      </c>
      <c r="C103" s="1"/>
    </row>
    <row r="104" spans="1:3" x14ac:dyDescent="0.3">
      <c r="A104" s="1" t="s">
        <v>105</v>
      </c>
      <c r="B104" t="b">
        <v>0</v>
      </c>
      <c r="C104" s="1"/>
    </row>
    <row r="105" spans="1:3" x14ac:dyDescent="0.3">
      <c r="A105" s="1" t="s">
        <v>106</v>
      </c>
      <c r="B105" t="b">
        <v>0</v>
      </c>
      <c r="C105" s="1"/>
    </row>
    <row r="106" spans="1:3" x14ac:dyDescent="0.3">
      <c r="A106" s="1" t="s">
        <v>107</v>
      </c>
      <c r="B106" t="b">
        <v>0</v>
      </c>
      <c r="C106" s="1"/>
    </row>
    <row r="107" spans="1:3" x14ac:dyDescent="0.3">
      <c r="A107" s="1" t="s">
        <v>108</v>
      </c>
      <c r="B107" t="b">
        <v>0</v>
      </c>
      <c r="C107" s="1"/>
    </row>
    <row r="108" spans="1:3" x14ac:dyDescent="0.3">
      <c r="A108" s="1" t="s">
        <v>109</v>
      </c>
      <c r="B108" t="b">
        <v>0</v>
      </c>
      <c r="C108" s="1"/>
    </row>
    <row r="109" spans="1:3" x14ac:dyDescent="0.3">
      <c r="A109" s="1" t="s">
        <v>110</v>
      </c>
      <c r="B109" t="b">
        <v>0</v>
      </c>
      <c r="C109" s="1"/>
    </row>
    <row r="110" spans="1:3" x14ac:dyDescent="0.3">
      <c r="A110" s="1" t="s">
        <v>111</v>
      </c>
      <c r="B110" t="b">
        <v>0</v>
      </c>
      <c r="C110" s="1"/>
    </row>
    <row r="111" spans="1:3" x14ac:dyDescent="0.3">
      <c r="A111" s="1" t="s">
        <v>112</v>
      </c>
      <c r="B111" t="b">
        <v>0</v>
      </c>
      <c r="C111" s="1"/>
    </row>
    <row r="112" spans="1:3" x14ac:dyDescent="0.3">
      <c r="A112" s="1" t="s">
        <v>113</v>
      </c>
      <c r="B112" t="b">
        <v>0</v>
      </c>
      <c r="C112" s="1"/>
    </row>
    <row r="113" spans="1:3" x14ac:dyDescent="0.3">
      <c r="A113" s="1" t="s">
        <v>114</v>
      </c>
      <c r="B113" t="b">
        <v>0</v>
      </c>
      <c r="C113" s="1"/>
    </row>
    <row r="114" spans="1:3" x14ac:dyDescent="0.3">
      <c r="A114" s="1" t="s">
        <v>115</v>
      </c>
      <c r="B114" t="b">
        <v>0</v>
      </c>
      <c r="C114" s="1"/>
    </row>
    <row r="115" spans="1:3" x14ac:dyDescent="0.3">
      <c r="A115" s="1" t="s">
        <v>116</v>
      </c>
      <c r="B115" t="b">
        <v>0</v>
      </c>
      <c r="C115" s="1"/>
    </row>
    <row r="116" spans="1:3" x14ac:dyDescent="0.3">
      <c r="A116" s="1" t="s">
        <v>117</v>
      </c>
      <c r="B116" t="b">
        <v>0</v>
      </c>
      <c r="C116" s="1"/>
    </row>
    <row r="117" spans="1:3" x14ac:dyDescent="0.3">
      <c r="A117" s="1" t="s">
        <v>118</v>
      </c>
      <c r="B117" t="b">
        <v>0</v>
      </c>
      <c r="C117" s="1"/>
    </row>
    <row r="118" spans="1:3" x14ac:dyDescent="0.3">
      <c r="A118" s="1" t="s">
        <v>119</v>
      </c>
      <c r="B118" t="b">
        <v>0</v>
      </c>
      <c r="C118" s="1"/>
    </row>
    <row r="119" spans="1:3" x14ac:dyDescent="0.3">
      <c r="A119" s="1" t="s">
        <v>120</v>
      </c>
      <c r="B119" t="b">
        <v>0</v>
      </c>
      <c r="C119" s="1"/>
    </row>
    <row r="120" spans="1:3" x14ac:dyDescent="0.3">
      <c r="A120" s="1" t="s">
        <v>121</v>
      </c>
      <c r="B120" t="b">
        <v>0</v>
      </c>
      <c r="C120" s="1"/>
    </row>
    <row r="121" spans="1:3" x14ac:dyDescent="0.3">
      <c r="A121" s="1" t="s">
        <v>122</v>
      </c>
      <c r="B121" t="b">
        <v>0</v>
      </c>
      <c r="C121" s="1"/>
    </row>
    <row r="122" spans="1:3" x14ac:dyDescent="0.3">
      <c r="A122" s="1" t="s">
        <v>123</v>
      </c>
      <c r="B122" t="b">
        <v>0</v>
      </c>
      <c r="C122" s="1"/>
    </row>
    <row r="123" spans="1:3" x14ac:dyDescent="0.3">
      <c r="A123" s="1" t="s">
        <v>124</v>
      </c>
      <c r="B123" t="b">
        <v>0</v>
      </c>
      <c r="C123" s="1"/>
    </row>
    <row r="124" spans="1:3" x14ac:dyDescent="0.3">
      <c r="A124" s="1" t="s">
        <v>125</v>
      </c>
      <c r="B124" t="b">
        <v>0</v>
      </c>
      <c r="C124" s="1"/>
    </row>
    <row r="125" spans="1:3" x14ac:dyDescent="0.3">
      <c r="A125" s="1" t="s">
        <v>126</v>
      </c>
      <c r="B125" t="b">
        <v>0</v>
      </c>
      <c r="C125" s="1"/>
    </row>
    <row r="126" spans="1:3" x14ac:dyDescent="0.3">
      <c r="A126" s="1" t="s">
        <v>127</v>
      </c>
      <c r="B126" t="b">
        <v>0</v>
      </c>
      <c r="C126" s="1"/>
    </row>
    <row r="127" spans="1:3" x14ac:dyDescent="0.3">
      <c r="A127" s="1" t="s">
        <v>128</v>
      </c>
      <c r="B127" t="b">
        <v>0</v>
      </c>
      <c r="C127" s="1"/>
    </row>
    <row r="128" spans="1:3" x14ac:dyDescent="0.3">
      <c r="A128" s="1" t="s">
        <v>129</v>
      </c>
      <c r="B128" t="b">
        <v>0</v>
      </c>
      <c r="C128" s="1"/>
    </row>
    <row r="129" spans="1:3" x14ac:dyDescent="0.3">
      <c r="A129" s="1" t="s">
        <v>130</v>
      </c>
      <c r="B129" t="b">
        <v>0</v>
      </c>
      <c r="C129" s="1"/>
    </row>
    <row r="130" spans="1:3" x14ac:dyDescent="0.3">
      <c r="A130" s="1" t="s">
        <v>131</v>
      </c>
      <c r="B130" t="b">
        <v>0</v>
      </c>
      <c r="C130" s="1"/>
    </row>
    <row r="131" spans="1:3" x14ac:dyDescent="0.3">
      <c r="A131" s="1" t="s">
        <v>132</v>
      </c>
      <c r="B131" t="b">
        <v>0</v>
      </c>
      <c r="C131" s="1"/>
    </row>
    <row r="132" spans="1:3" x14ac:dyDescent="0.3">
      <c r="A132" s="1" t="s">
        <v>133</v>
      </c>
      <c r="B132" t="b">
        <v>0</v>
      </c>
      <c r="C132" s="1"/>
    </row>
    <row r="133" spans="1:3" x14ac:dyDescent="0.3">
      <c r="A133" s="1" t="s">
        <v>134</v>
      </c>
      <c r="B133" t="b">
        <v>0</v>
      </c>
      <c r="C133" s="1"/>
    </row>
    <row r="134" spans="1:3" x14ac:dyDescent="0.3">
      <c r="A134" s="1" t="s">
        <v>135</v>
      </c>
      <c r="B134" t="b">
        <v>0</v>
      </c>
      <c r="C134" s="1"/>
    </row>
    <row r="135" spans="1:3" x14ac:dyDescent="0.3">
      <c r="A135" s="1" t="s">
        <v>136</v>
      </c>
      <c r="B135" t="b">
        <v>0</v>
      </c>
      <c r="C135" s="1"/>
    </row>
    <row r="136" spans="1:3" x14ac:dyDescent="0.3">
      <c r="A136" s="1" t="s">
        <v>137</v>
      </c>
      <c r="B136" t="b">
        <v>0</v>
      </c>
      <c r="C136" s="1"/>
    </row>
    <row r="137" spans="1:3" x14ac:dyDescent="0.3">
      <c r="A137" s="1" t="s">
        <v>138</v>
      </c>
      <c r="B137" t="b">
        <v>0</v>
      </c>
      <c r="C137" s="1"/>
    </row>
    <row r="138" spans="1:3" x14ac:dyDescent="0.3">
      <c r="A138" s="1" t="s">
        <v>139</v>
      </c>
      <c r="B138" t="b">
        <v>0</v>
      </c>
      <c r="C138" s="1"/>
    </row>
    <row r="139" spans="1:3" x14ac:dyDescent="0.3">
      <c r="A139" s="1" t="s">
        <v>140</v>
      </c>
      <c r="B139" t="b">
        <v>0</v>
      </c>
      <c r="C139" s="1"/>
    </row>
    <row r="140" spans="1:3" x14ac:dyDescent="0.3">
      <c r="A140" s="1" t="s">
        <v>141</v>
      </c>
      <c r="B140" t="b">
        <v>0</v>
      </c>
      <c r="C140" s="1"/>
    </row>
    <row r="141" spans="1:3" x14ac:dyDescent="0.3">
      <c r="A141" s="1" t="s">
        <v>142</v>
      </c>
      <c r="B141" t="b">
        <v>0</v>
      </c>
      <c r="C141" s="1"/>
    </row>
    <row r="142" spans="1:3" x14ac:dyDescent="0.3">
      <c r="A142" s="1" t="s">
        <v>143</v>
      </c>
      <c r="B142" t="b">
        <v>0</v>
      </c>
      <c r="C142" s="1"/>
    </row>
    <row r="143" spans="1:3" x14ac:dyDescent="0.3">
      <c r="A143" s="1" t="s">
        <v>144</v>
      </c>
      <c r="B143" t="b">
        <v>0</v>
      </c>
      <c r="C143" s="1"/>
    </row>
    <row r="144" spans="1:3" x14ac:dyDescent="0.3">
      <c r="A144" s="1" t="s">
        <v>145</v>
      </c>
      <c r="B144" t="b">
        <v>0</v>
      </c>
      <c r="C144" s="1"/>
    </row>
    <row r="145" spans="1:3" x14ac:dyDescent="0.3">
      <c r="A145" s="1" t="s">
        <v>146</v>
      </c>
      <c r="B145" t="b">
        <v>0</v>
      </c>
      <c r="C145" s="1"/>
    </row>
    <row r="146" spans="1:3" x14ac:dyDescent="0.3">
      <c r="A146" s="1" t="s">
        <v>147</v>
      </c>
      <c r="B146" t="b">
        <v>0</v>
      </c>
      <c r="C146" s="1"/>
    </row>
    <row r="147" spans="1:3" x14ac:dyDescent="0.3">
      <c r="A147" s="1" t="s">
        <v>148</v>
      </c>
      <c r="B147" t="b">
        <v>0</v>
      </c>
      <c r="C147" s="1"/>
    </row>
    <row r="148" spans="1:3" x14ac:dyDescent="0.3">
      <c r="A148" s="1" t="s">
        <v>149</v>
      </c>
      <c r="B148" t="b">
        <v>0</v>
      </c>
      <c r="C148" s="1"/>
    </row>
    <row r="149" spans="1:3" x14ac:dyDescent="0.3">
      <c r="A149" s="1" t="s">
        <v>150</v>
      </c>
      <c r="B149" t="b">
        <v>0</v>
      </c>
      <c r="C149" s="1"/>
    </row>
    <row r="150" spans="1:3" x14ac:dyDescent="0.3">
      <c r="A150" s="1" t="s">
        <v>151</v>
      </c>
      <c r="B150" t="b">
        <v>0</v>
      </c>
      <c r="C150" s="1"/>
    </row>
    <row r="151" spans="1:3" x14ac:dyDescent="0.3">
      <c r="A151" s="1" t="s">
        <v>152</v>
      </c>
      <c r="B151" t="b">
        <v>0</v>
      </c>
      <c r="C151" s="1"/>
    </row>
    <row r="152" spans="1:3" x14ac:dyDescent="0.3">
      <c r="A152" s="1" t="s">
        <v>153</v>
      </c>
      <c r="B152" t="b">
        <v>0</v>
      </c>
      <c r="C152" s="1"/>
    </row>
    <row r="153" spans="1:3" x14ac:dyDescent="0.3">
      <c r="A153" s="1" t="s">
        <v>154</v>
      </c>
      <c r="B153" t="b">
        <v>0</v>
      </c>
      <c r="C153" s="1"/>
    </row>
    <row r="154" spans="1:3" x14ac:dyDescent="0.3">
      <c r="A154" s="1" t="s">
        <v>155</v>
      </c>
      <c r="B154" t="b">
        <v>0</v>
      </c>
      <c r="C154" s="1"/>
    </row>
    <row r="155" spans="1:3" x14ac:dyDescent="0.3">
      <c r="A155" s="1" t="s">
        <v>156</v>
      </c>
      <c r="C155" s="1"/>
    </row>
    <row r="156" spans="1:3" x14ac:dyDescent="0.3">
      <c r="A156" s="1" t="s">
        <v>157</v>
      </c>
      <c r="C156" s="1"/>
    </row>
    <row r="157" spans="1:3" x14ac:dyDescent="0.3">
      <c r="A157" s="1" t="s">
        <v>158</v>
      </c>
      <c r="C157" s="1"/>
    </row>
    <row r="158" spans="1:3" x14ac:dyDescent="0.3">
      <c r="A158" s="1" t="s">
        <v>159</v>
      </c>
      <c r="C158" s="1"/>
    </row>
    <row r="159" spans="1:3" x14ac:dyDescent="0.3">
      <c r="A159" s="1" t="s">
        <v>160</v>
      </c>
      <c r="C159" s="1"/>
    </row>
    <row r="160" spans="1:3" x14ac:dyDescent="0.3">
      <c r="A160" s="1" t="s">
        <v>161</v>
      </c>
      <c r="C160" s="1"/>
    </row>
    <row r="161" spans="1:3" x14ac:dyDescent="0.3">
      <c r="A161" s="1" t="s">
        <v>162</v>
      </c>
      <c r="C161" s="1"/>
    </row>
    <row r="162" spans="1:3" x14ac:dyDescent="0.3">
      <c r="A162" s="1" t="s">
        <v>163</v>
      </c>
      <c r="C162" s="1"/>
    </row>
    <row r="163" spans="1:3" x14ac:dyDescent="0.3">
      <c r="A163" s="1" t="s">
        <v>164</v>
      </c>
      <c r="C163" s="1"/>
    </row>
    <row r="164" spans="1:3" x14ac:dyDescent="0.3">
      <c r="A164" s="1" t="s">
        <v>165</v>
      </c>
      <c r="C164" s="1"/>
    </row>
    <row r="165" spans="1:3" x14ac:dyDescent="0.3">
      <c r="A165" s="1" t="s">
        <v>166</v>
      </c>
      <c r="C165" s="1"/>
    </row>
    <row r="166" spans="1:3" x14ac:dyDescent="0.3">
      <c r="A166" s="1" t="s">
        <v>167</v>
      </c>
      <c r="C166" s="1"/>
    </row>
    <row r="167" spans="1:3" x14ac:dyDescent="0.3">
      <c r="A167" s="1" t="s">
        <v>168</v>
      </c>
      <c r="C167" s="1"/>
    </row>
    <row r="168" spans="1:3" x14ac:dyDescent="0.3">
      <c r="A168" s="1" t="s">
        <v>169</v>
      </c>
      <c r="C168" s="1"/>
    </row>
    <row r="169" spans="1:3" x14ac:dyDescent="0.3">
      <c r="A169" s="1" t="s">
        <v>170</v>
      </c>
      <c r="C169" s="1"/>
    </row>
    <row r="170" spans="1:3" x14ac:dyDescent="0.3">
      <c r="A170" s="1" t="s">
        <v>171</v>
      </c>
      <c r="C170" s="1"/>
    </row>
    <row r="171" spans="1:3" x14ac:dyDescent="0.3">
      <c r="A171" s="1" t="s">
        <v>172</v>
      </c>
      <c r="C171" s="1"/>
    </row>
    <row r="172" spans="1:3" x14ac:dyDescent="0.3">
      <c r="A172" s="1" t="s">
        <v>173</v>
      </c>
      <c r="C172" s="1"/>
    </row>
    <row r="173" spans="1:3" x14ac:dyDescent="0.3">
      <c r="A173" s="1" t="s">
        <v>174</v>
      </c>
      <c r="C173" s="1"/>
    </row>
    <row r="174" spans="1:3" x14ac:dyDescent="0.3">
      <c r="A174" s="1" t="s">
        <v>175</v>
      </c>
      <c r="C174" s="1"/>
    </row>
    <row r="175" spans="1:3" x14ac:dyDescent="0.3">
      <c r="A175" s="1" t="s">
        <v>176</v>
      </c>
      <c r="C175" s="1"/>
    </row>
    <row r="176" spans="1:3" x14ac:dyDescent="0.3">
      <c r="A176" s="1" t="s">
        <v>177</v>
      </c>
      <c r="C176" s="1"/>
    </row>
    <row r="177" spans="1:3" x14ac:dyDescent="0.3">
      <c r="A177" s="1" t="s">
        <v>178</v>
      </c>
      <c r="C177" s="1"/>
    </row>
    <row r="178" spans="1:3" x14ac:dyDescent="0.3">
      <c r="A178" s="1" t="s">
        <v>179</v>
      </c>
      <c r="C178" s="1"/>
    </row>
    <row r="179" spans="1:3" x14ac:dyDescent="0.3">
      <c r="A179" s="1" t="s">
        <v>180</v>
      </c>
      <c r="C179" s="1"/>
    </row>
    <row r="180" spans="1:3" x14ac:dyDescent="0.3">
      <c r="A180" s="1" t="s">
        <v>181</v>
      </c>
      <c r="C180" s="1"/>
    </row>
    <row r="181" spans="1:3" x14ac:dyDescent="0.3">
      <c r="A181" s="1" t="s">
        <v>182</v>
      </c>
      <c r="C181" s="1"/>
    </row>
    <row r="182" spans="1:3" x14ac:dyDescent="0.3">
      <c r="A182" s="1" t="s">
        <v>183</v>
      </c>
      <c r="C182" s="1"/>
    </row>
    <row r="183" spans="1:3" x14ac:dyDescent="0.3">
      <c r="A183" s="1" t="s">
        <v>184</v>
      </c>
      <c r="C183" s="1"/>
    </row>
    <row r="184" spans="1:3" x14ac:dyDescent="0.3">
      <c r="A184" s="1" t="s">
        <v>185</v>
      </c>
      <c r="C184" s="1"/>
    </row>
    <row r="185" spans="1:3" x14ac:dyDescent="0.3">
      <c r="A185" s="1" t="s">
        <v>186</v>
      </c>
      <c r="C185" s="1"/>
    </row>
    <row r="186" spans="1:3" x14ac:dyDescent="0.3">
      <c r="A186" s="1" t="s">
        <v>187</v>
      </c>
      <c r="C186" s="1"/>
    </row>
    <row r="187" spans="1:3" x14ac:dyDescent="0.3">
      <c r="A187" s="1" t="s">
        <v>188</v>
      </c>
      <c r="C187" s="1"/>
    </row>
    <row r="188" spans="1:3" x14ac:dyDescent="0.3">
      <c r="A188" s="1" t="s">
        <v>189</v>
      </c>
      <c r="C188" s="1"/>
    </row>
    <row r="189" spans="1:3" x14ac:dyDescent="0.3">
      <c r="A189" s="1" t="s">
        <v>190</v>
      </c>
      <c r="C189" s="1"/>
    </row>
    <row r="190" spans="1:3" x14ac:dyDescent="0.3">
      <c r="A190" s="1" t="s">
        <v>191</v>
      </c>
      <c r="C190" s="1"/>
    </row>
    <row r="191" spans="1:3" x14ac:dyDescent="0.3">
      <c r="A191" s="1" t="s">
        <v>192</v>
      </c>
      <c r="C191" s="1"/>
    </row>
    <row r="192" spans="1:3" x14ac:dyDescent="0.3">
      <c r="A192" s="1" t="s">
        <v>193</v>
      </c>
      <c r="C192" s="1"/>
    </row>
    <row r="193" spans="1:3" x14ac:dyDescent="0.3">
      <c r="A193" s="1" t="s">
        <v>194</v>
      </c>
      <c r="C193" s="1"/>
    </row>
    <row r="194" spans="1:3" x14ac:dyDescent="0.3">
      <c r="A194" s="1" t="s">
        <v>195</v>
      </c>
      <c r="C194" s="1"/>
    </row>
    <row r="195" spans="1:3" x14ac:dyDescent="0.3">
      <c r="A195" s="1" t="s">
        <v>196</v>
      </c>
      <c r="C195" s="1"/>
    </row>
    <row r="196" spans="1:3" x14ac:dyDescent="0.3">
      <c r="A196" s="1" t="s">
        <v>197</v>
      </c>
      <c r="C196" s="1"/>
    </row>
    <row r="197" spans="1:3" x14ac:dyDescent="0.3">
      <c r="A197" s="1" t="s">
        <v>198</v>
      </c>
      <c r="C197" s="1"/>
    </row>
    <row r="198" spans="1:3" x14ac:dyDescent="0.3">
      <c r="A198" s="1" t="s">
        <v>199</v>
      </c>
      <c r="C198" s="1"/>
    </row>
    <row r="199" spans="1:3" x14ac:dyDescent="0.3">
      <c r="A199" s="1" t="s">
        <v>200</v>
      </c>
      <c r="C199" s="1"/>
    </row>
    <row r="200" spans="1:3" x14ac:dyDescent="0.3">
      <c r="A200" s="1" t="s">
        <v>201</v>
      </c>
      <c r="C200" s="1"/>
    </row>
    <row r="201" spans="1:3" x14ac:dyDescent="0.3">
      <c r="A201" s="1" t="s">
        <v>202</v>
      </c>
      <c r="C201" s="1"/>
    </row>
    <row r="202" spans="1:3" x14ac:dyDescent="0.3">
      <c r="A202" s="1" t="s">
        <v>203</v>
      </c>
      <c r="C202" s="1"/>
    </row>
    <row r="203" spans="1:3" x14ac:dyDescent="0.3">
      <c r="A203" s="1" t="s">
        <v>204</v>
      </c>
      <c r="C203" s="1"/>
    </row>
    <row r="204" spans="1:3" x14ac:dyDescent="0.3">
      <c r="A204" s="1" t="s">
        <v>205</v>
      </c>
      <c r="C204" s="1"/>
    </row>
    <row r="205" spans="1:3" x14ac:dyDescent="0.3">
      <c r="A205" s="1" t="s">
        <v>206</v>
      </c>
      <c r="C205" s="1"/>
    </row>
    <row r="206" spans="1:3" x14ac:dyDescent="0.3">
      <c r="A206" s="1" t="s">
        <v>207</v>
      </c>
      <c r="C206" s="1"/>
    </row>
    <row r="207" spans="1:3" x14ac:dyDescent="0.3">
      <c r="A207" s="1" t="s">
        <v>208</v>
      </c>
      <c r="C207" s="1"/>
    </row>
    <row r="208" spans="1:3" x14ac:dyDescent="0.3">
      <c r="A208" s="1" t="s">
        <v>209</v>
      </c>
      <c r="C208" s="1"/>
    </row>
    <row r="209" spans="1:3" x14ac:dyDescent="0.3">
      <c r="A209" s="1" t="s">
        <v>210</v>
      </c>
      <c r="C209" s="1"/>
    </row>
    <row r="210" spans="1:3" x14ac:dyDescent="0.3">
      <c r="A210" s="1" t="s">
        <v>211</v>
      </c>
      <c r="C210" s="1"/>
    </row>
    <row r="211" spans="1:3" x14ac:dyDescent="0.3">
      <c r="A211" s="1" t="s">
        <v>212</v>
      </c>
      <c r="C211" s="1"/>
    </row>
    <row r="212" spans="1:3" x14ac:dyDescent="0.3">
      <c r="A212" s="1" t="s">
        <v>213</v>
      </c>
      <c r="C212" s="1"/>
    </row>
    <row r="213" spans="1:3" x14ac:dyDescent="0.3">
      <c r="A213" s="1" t="s">
        <v>214</v>
      </c>
      <c r="C213" s="1"/>
    </row>
    <row r="214" spans="1:3" x14ac:dyDescent="0.3">
      <c r="A214" s="1" t="s">
        <v>215</v>
      </c>
      <c r="C214" s="1"/>
    </row>
    <row r="215" spans="1:3" x14ac:dyDescent="0.3">
      <c r="A215" s="1" t="s">
        <v>216</v>
      </c>
      <c r="C215" s="1"/>
    </row>
    <row r="216" spans="1:3" x14ac:dyDescent="0.3">
      <c r="A216" s="1" t="s">
        <v>217</v>
      </c>
      <c r="C216" s="1"/>
    </row>
    <row r="217" spans="1:3" x14ac:dyDescent="0.3">
      <c r="A217" s="1" t="s">
        <v>218</v>
      </c>
      <c r="C217" s="1"/>
    </row>
    <row r="218" spans="1:3" x14ac:dyDescent="0.3">
      <c r="A218" s="1" t="s">
        <v>219</v>
      </c>
      <c r="C218" s="1"/>
    </row>
    <row r="219" spans="1:3" x14ac:dyDescent="0.3">
      <c r="A219" s="1" t="s">
        <v>220</v>
      </c>
      <c r="C219" s="1"/>
    </row>
    <row r="220" spans="1:3" x14ac:dyDescent="0.3">
      <c r="A220" s="1" t="s">
        <v>221</v>
      </c>
      <c r="C220" s="1"/>
    </row>
    <row r="221" spans="1:3" x14ac:dyDescent="0.3">
      <c r="A221" s="1" t="s">
        <v>222</v>
      </c>
      <c r="C221" s="1"/>
    </row>
    <row r="222" spans="1:3" x14ac:dyDescent="0.3">
      <c r="A222" s="1" t="s">
        <v>223</v>
      </c>
      <c r="C222" s="1"/>
    </row>
    <row r="223" spans="1:3" x14ac:dyDescent="0.3">
      <c r="A223" s="1" t="s">
        <v>224</v>
      </c>
      <c r="C223" s="1"/>
    </row>
    <row r="224" spans="1:3" x14ac:dyDescent="0.3">
      <c r="A224" s="1" t="s">
        <v>225</v>
      </c>
      <c r="C224" s="1"/>
    </row>
    <row r="225" spans="1:3" x14ac:dyDescent="0.3">
      <c r="A225" s="1" t="s">
        <v>226</v>
      </c>
      <c r="C225" s="1"/>
    </row>
    <row r="226" spans="1:3" x14ac:dyDescent="0.3">
      <c r="A226" s="1" t="s">
        <v>227</v>
      </c>
      <c r="C226" s="1"/>
    </row>
    <row r="227" spans="1:3" x14ac:dyDescent="0.3">
      <c r="A227" s="1" t="s">
        <v>228</v>
      </c>
      <c r="C227" s="1"/>
    </row>
    <row r="228" spans="1:3" x14ac:dyDescent="0.3">
      <c r="A228" s="1" t="s">
        <v>229</v>
      </c>
      <c r="C228" s="1"/>
    </row>
    <row r="229" spans="1:3" x14ac:dyDescent="0.3">
      <c r="A229" s="1" t="s">
        <v>230</v>
      </c>
      <c r="C229" s="1"/>
    </row>
    <row r="230" spans="1:3" x14ac:dyDescent="0.3">
      <c r="A230" s="1" t="s">
        <v>231</v>
      </c>
      <c r="C230" s="1"/>
    </row>
    <row r="231" spans="1:3" x14ac:dyDescent="0.3">
      <c r="A231" s="1" t="s">
        <v>232</v>
      </c>
      <c r="C231" s="1"/>
    </row>
    <row r="232" spans="1:3" x14ac:dyDescent="0.3">
      <c r="A232" s="1" t="s">
        <v>233</v>
      </c>
      <c r="C232" s="1"/>
    </row>
    <row r="233" spans="1:3" x14ac:dyDescent="0.3">
      <c r="A233" s="1" t="s">
        <v>234</v>
      </c>
      <c r="C233" s="1"/>
    </row>
    <row r="234" spans="1:3" x14ac:dyDescent="0.3">
      <c r="A234" s="1" t="s">
        <v>235</v>
      </c>
      <c r="C234" s="1"/>
    </row>
    <row r="235" spans="1:3" x14ac:dyDescent="0.3">
      <c r="A235" s="1" t="s">
        <v>236</v>
      </c>
      <c r="C235" s="1"/>
    </row>
    <row r="236" spans="1:3" x14ac:dyDescent="0.3">
      <c r="A236" s="1" t="s">
        <v>237</v>
      </c>
      <c r="C236" s="1"/>
    </row>
    <row r="237" spans="1:3" x14ac:dyDescent="0.3">
      <c r="A237" s="1" t="s">
        <v>238</v>
      </c>
      <c r="C237" s="1"/>
    </row>
    <row r="238" spans="1:3" x14ac:dyDescent="0.3">
      <c r="A238" s="1" t="s">
        <v>239</v>
      </c>
      <c r="C238" s="1"/>
    </row>
    <row r="239" spans="1:3" x14ac:dyDescent="0.3">
      <c r="A239" s="1" t="s">
        <v>240</v>
      </c>
      <c r="C239" s="1"/>
    </row>
    <row r="240" spans="1:3" x14ac:dyDescent="0.3">
      <c r="A240" s="1" t="s">
        <v>241</v>
      </c>
      <c r="C240" s="1"/>
    </row>
    <row r="241" spans="1:3" x14ac:dyDescent="0.3">
      <c r="A241" s="1" t="s">
        <v>242</v>
      </c>
      <c r="C241" s="1"/>
    </row>
    <row r="242" spans="1:3" x14ac:dyDescent="0.3">
      <c r="A242" s="1" t="s">
        <v>243</v>
      </c>
      <c r="C242" s="1"/>
    </row>
    <row r="243" spans="1:3" x14ac:dyDescent="0.3">
      <c r="A243" s="1" t="s">
        <v>244</v>
      </c>
      <c r="C243" s="1"/>
    </row>
    <row r="244" spans="1:3" x14ac:dyDescent="0.3">
      <c r="A244" s="1" t="s">
        <v>245</v>
      </c>
      <c r="C244" s="1"/>
    </row>
    <row r="245" spans="1:3" x14ac:dyDescent="0.3">
      <c r="A245" s="1" t="s">
        <v>246</v>
      </c>
      <c r="C245" s="1"/>
    </row>
    <row r="246" spans="1:3" x14ac:dyDescent="0.3">
      <c r="A246" s="1" t="s">
        <v>247</v>
      </c>
      <c r="C246" s="1"/>
    </row>
    <row r="247" spans="1:3" x14ac:dyDescent="0.3">
      <c r="A247" s="1" t="s">
        <v>248</v>
      </c>
      <c r="C247" s="1"/>
    </row>
    <row r="248" spans="1:3" x14ac:dyDescent="0.3">
      <c r="A248" s="1" t="s">
        <v>249</v>
      </c>
      <c r="C248" s="1"/>
    </row>
    <row r="249" spans="1:3" x14ac:dyDescent="0.3">
      <c r="A249" s="1" t="s">
        <v>250</v>
      </c>
      <c r="C249" s="1"/>
    </row>
    <row r="250" spans="1:3" x14ac:dyDescent="0.3">
      <c r="A250" s="1" t="s">
        <v>251</v>
      </c>
      <c r="C250" s="1"/>
    </row>
    <row r="251" spans="1:3" x14ac:dyDescent="0.3">
      <c r="A251" s="1" t="s">
        <v>252</v>
      </c>
      <c r="C251" s="1"/>
    </row>
    <row r="252" spans="1:3" x14ac:dyDescent="0.3">
      <c r="A252" s="1" t="s">
        <v>253</v>
      </c>
      <c r="C252" s="1"/>
    </row>
    <row r="253" spans="1:3" x14ac:dyDescent="0.3">
      <c r="A253" s="1" t="s">
        <v>254</v>
      </c>
      <c r="C253" s="1"/>
    </row>
    <row r="254" spans="1:3" x14ac:dyDescent="0.3">
      <c r="A254" s="1" t="s">
        <v>255</v>
      </c>
      <c r="C254" s="1"/>
    </row>
    <row r="255" spans="1:3" x14ac:dyDescent="0.3">
      <c r="A255" s="1" t="s">
        <v>256</v>
      </c>
      <c r="C255" s="1"/>
    </row>
    <row r="256" spans="1:3" x14ac:dyDescent="0.3">
      <c r="A256" s="1" t="s">
        <v>257</v>
      </c>
      <c r="C256" s="1"/>
    </row>
    <row r="257" spans="1:3" x14ac:dyDescent="0.3">
      <c r="A257" s="1" t="s">
        <v>258</v>
      </c>
      <c r="C257" s="1"/>
    </row>
    <row r="258" spans="1:3" x14ac:dyDescent="0.3">
      <c r="A258" s="1" t="s">
        <v>259</v>
      </c>
      <c r="C258" s="1"/>
    </row>
    <row r="259" spans="1:3" x14ac:dyDescent="0.3">
      <c r="A259" s="1" t="s">
        <v>260</v>
      </c>
      <c r="C259" s="1"/>
    </row>
    <row r="260" spans="1:3" x14ac:dyDescent="0.3">
      <c r="A260" s="1" t="s">
        <v>261</v>
      </c>
      <c r="C260" s="1"/>
    </row>
    <row r="261" spans="1:3" x14ac:dyDescent="0.3">
      <c r="A261" s="1" t="s">
        <v>262</v>
      </c>
      <c r="B261" t="b">
        <v>0</v>
      </c>
      <c r="C261" s="1" t="s">
        <v>263</v>
      </c>
    </row>
    <row r="262" spans="1:3" x14ac:dyDescent="0.3">
      <c r="A262" s="1" t="s">
        <v>264</v>
      </c>
      <c r="B262" t="b">
        <v>0</v>
      </c>
      <c r="C262" s="1" t="s">
        <v>265</v>
      </c>
    </row>
    <row r="263" spans="1:3" x14ac:dyDescent="0.3">
      <c r="A263" s="1" t="s">
        <v>266</v>
      </c>
      <c r="B263" t="b">
        <v>0</v>
      </c>
      <c r="C263" s="1" t="s">
        <v>267</v>
      </c>
    </row>
    <row r="264" spans="1:3" x14ac:dyDescent="0.3">
      <c r="A264" s="1" t="s">
        <v>268</v>
      </c>
      <c r="B264" t="b">
        <v>0</v>
      </c>
      <c r="C264" s="1" t="s">
        <v>269</v>
      </c>
    </row>
    <row r="265" spans="1:3" x14ac:dyDescent="0.3">
      <c r="A265" s="1" t="s">
        <v>270</v>
      </c>
      <c r="B265" t="b">
        <v>0</v>
      </c>
      <c r="C265" s="1" t="s">
        <v>271</v>
      </c>
    </row>
    <row r="266" spans="1:3" x14ac:dyDescent="0.3">
      <c r="A266" s="1" t="s">
        <v>272</v>
      </c>
      <c r="B266" t="b">
        <v>0</v>
      </c>
      <c r="C266" s="1" t="s">
        <v>273</v>
      </c>
    </row>
    <row r="267" spans="1:3" x14ac:dyDescent="0.3">
      <c r="A267" s="1" t="s">
        <v>274</v>
      </c>
      <c r="B267" t="b">
        <v>0</v>
      </c>
      <c r="C267" s="1" t="s">
        <v>275</v>
      </c>
    </row>
    <row r="268" spans="1:3" x14ac:dyDescent="0.3">
      <c r="A268" s="1" t="s">
        <v>276</v>
      </c>
      <c r="B268" t="b">
        <v>0</v>
      </c>
      <c r="C268" s="1" t="s">
        <v>275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D3BD8-9789-4D09-B2A8-293536CAF5ED}">
  <sheetPr codeName="Sheet5"/>
  <dimension ref="A2:L23"/>
  <sheetViews>
    <sheetView workbookViewId="0">
      <selection activeCell="J20" sqref="J20"/>
    </sheetView>
  </sheetViews>
  <sheetFormatPr defaultRowHeight="14.4" x14ac:dyDescent="0.3"/>
  <cols>
    <col min="1" max="1" width="11.88671875" bestFit="1" customWidth="1"/>
  </cols>
  <sheetData>
    <row r="2" spans="1:12" x14ac:dyDescent="0.3">
      <c r="B2">
        <v>41.507483000000001</v>
      </c>
      <c r="C2">
        <v>-99.436554000000001</v>
      </c>
      <c r="H2">
        <v>28.455556000000001</v>
      </c>
      <c r="I2">
        <v>-80.527777999999998</v>
      </c>
      <c r="L2">
        <f>PI()/180</f>
        <v>1.7453292519943295E-2</v>
      </c>
    </row>
    <row r="3" spans="1:12" x14ac:dyDescent="0.3">
      <c r="B3">
        <v>38.504080000000002</v>
      </c>
      <c r="C3">
        <v>-98.315949000000003</v>
      </c>
      <c r="H3">
        <v>38.504080000000002</v>
      </c>
      <c r="I3">
        <v>-98.315949000000003</v>
      </c>
    </row>
    <row r="6" spans="1:12" x14ac:dyDescent="0.3">
      <c r="A6" t="s">
        <v>277</v>
      </c>
      <c r="B6">
        <f>B2-B3</f>
        <v>3.0034029999999987</v>
      </c>
      <c r="C6">
        <f>C2-C3</f>
        <v>-1.1206049999999976</v>
      </c>
      <c r="H6" t="s">
        <v>281</v>
      </c>
      <c r="K6" t="s">
        <v>282</v>
      </c>
    </row>
    <row r="7" spans="1:12" x14ac:dyDescent="0.3">
      <c r="H7">
        <f>H2*L2</f>
        <v>0.49664314268562759</v>
      </c>
      <c r="I7">
        <f>I2*L2</f>
        <v>-1.4054748654150542</v>
      </c>
      <c r="K7">
        <v>6371</v>
      </c>
      <c r="L7" t="s">
        <v>286</v>
      </c>
    </row>
    <row r="8" spans="1:12" x14ac:dyDescent="0.3">
      <c r="H8">
        <f>H3*L2</f>
        <v>0.6720229714512983</v>
      </c>
      <c r="I8">
        <f>I3*L2</f>
        <v>-1.7159370172728265</v>
      </c>
      <c r="K8">
        <v>3961</v>
      </c>
      <c r="L8" t="s">
        <v>287</v>
      </c>
    </row>
    <row r="9" spans="1:12" x14ac:dyDescent="0.3">
      <c r="B9">
        <f>POWER(SIN(B6/2),2)</f>
        <v>0.99523349740375866</v>
      </c>
      <c r="C9">
        <f>COS(B2)</f>
        <v>-0.78581809944522951</v>
      </c>
      <c r="D9">
        <f>COS(C2)</f>
        <v>0.45857004462317952</v>
      </c>
      <c r="E9">
        <f>POWER(SIN(C6/2),2)</f>
        <v>0.28243109709645658</v>
      </c>
    </row>
    <row r="11" spans="1:12" x14ac:dyDescent="0.3">
      <c r="G11" t="s">
        <v>283</v>
      </c>
      <c r="H11">
        <f>SIN(H7)</f>
        <v>0.47647692349637644</v>
      </c>
      <c r="I11">
        <f>SIN(H8)</f>
        <v>0.62257036414274136</v>
      </c>
    </row>
    <row r="12" spans="1:12" x14ac:dyDescent="0.3">
      <c r="G12" t="s">
        <v>284</v>
      </c>
      <c r="H12">
        <f>COS(H7)</f>
        <v>0.87918697748284935</v>
      </c>
      <c r="I12">
        <f>COS(H8)</f>
        <v>0.78256382595362428</v>
      </c>
    </row>
    <row r="13" spans="1:12" x14ac:dyDescent="0.3">
      <c r="B13">
        <v>0.99523349740375866</v>
      </c>
      <c r="C13">
        <f>C9*D9*E9</f>
        <v>-0.10177479171898553</v>
      </c>
      <c r="G13" t="s">
        <v>285</v>
      </c>
      <c r="H13">
        <f>COS(I8-I7)</f>
        <v>0.95219248477340368</v>
      </c>
    </row>
    <row r="15" spans="1:12" x14ac:dyDescent="0.3">
      <c r="A15" t="s">
        <v>278</v>
      </c>
      <c r="B15">
        <f>B13+C13</f>
        <v>0.89345870568477315</v>
      </c>
    </row>
    <row r="16" spans="1:12" x14ac:dyDescent="0.3">
      <c r="H16">
        <f>ACOS((H11*I11)+(H12*I12*H13)) * K7</f>
        <v>1986.791542733419</v>
      </c>
    </row>
    <row r="19" spans="1:10" x14ac:dyDescent="0.3">
      <c r="B19">
        <v>2</v>
      </c>
      <c r="C19">
        <f>ATAN2(SQRT(B15),SQRT(1-B15))</f>
        <v>0.33249949255955413</v>
      </c>
    </row>
    <row r="20" spans="1:10" x14ac:dyDescent="0.3">
      <c r="H20" t="s">
        <v>289</v>
      </c>
      <c r="I20">
        <f>ASIN(SIN(H2)*COS(130/6871) + COS(H2)*SIN(130/6871)*COS(317))</f>
        <v>-0.16314908433879399</v>
      </c>
      <c r="J20">
        <f>DEGREES(I20)</f>
        <v>-9.3477539640368121</v>
      </c>
    </row>
    <row r="21" spans="1:10" x14ac:dyDescent="0.3">
      <c r="A21" t="s">
        <v>279</v>
      </c>
      <c r="B21">
        <f>B19*C19</f>
        <v>0.66499898511910827</v>
      </c>
      <c r="H21" t="s">
        <v>290</v>
      </c>
      <c r="I21">
        <f>I2+ATAN2(COS((130.224835*1.852)/6378.1)-SIN(RADIANS(H2))*SIN(RADIANS(J20)),SIN(RADIANS(317.662819))*SIN((130.224835*1.852)/6378.1)*COS(RADIANS(H2)))</f>
        <v>-80.548565662951262</v>
      </c>
    </row>
    <row r="23" spans="1:10" x14ac:dyDescent="0.3">
      <c r="A23" t="s">
        <v>280</v>
      </c>
      <c r="B23">
        <f>6371*B21</f>
        <v>4236.7085341938391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02828-5DC9-4AF6-B006-9578C95C6440}">
  <sheetPr codeName="Sheet7"/>
  <dimension ref="A1:A2"/>
  <sheetViews>
    <sheetView workbookViewId="0"/>
  </sheetViews>
  <sheetFormatPr defaultRowHeight="14.4" x14ac:dyDescent="0.3"/>
  <cols>
    <col min="1" max="1" width="18" bestFit="1" customWidth="1"/>
  </cols>
  <sheetData>
    <row r="1" spans="1:1" x14ac:dyDescent="0.3">
      <c r="A1" t="s">
        <v>288</v>
      </c>
    </row>
    <row r="2" spans="1:1" x14ac:dyDescent="0.3">
      <c r="A2">
        <v>347.32682256360346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D3CD8-790D-45FC-BB4F-E9EC5A9D8D21}">
  <sheetPr codeName="Sheet9"/>
  <dimension ref="A1"/>
  <sheetViews>
    <sheetView workbookViewId="0"/>
  </sheetViews>
  <sheetFormatPr defaultRowHeight="14.4" x14ac:dyDescent="0.3"/>
  <cols>
    <col min="1" max="1" width="10.5546875" bestFit="1" customWidth="1"/>
    <col min="2" max="2" width="9" bestFit="1" customWidth="1"/>
    <col min="3" max="4" width="12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96C6-BE4A-4CFB-A8A6-B89495C89329}">
  <sheetPr codeName="Sheet10"/>
  <dimension ref="A1:A2"/>
  <sheetViews>
    <sheetView workbookViewId="0"/>
  </sheetViews>
  <sheetFormatPr defaultRowHeight="14.4" x14ac:dyDescent="0.3"/>
  <cols>
    <col min="1" max="1" width="18" bestFit="1" customWidth="1"/>
  </cols>
  <sheetData>
    <row r="1" spans="1:1" x14ac:dyDescent="0.3">
      <c r="A1" t="s">
        <v>288</v>
      </c>
    </row>
    <row r="2" spans="1:1" x14ac:dyDescent="0.3">
      <c r="A2">
        <v>52.204515693179857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31E89-B659-4ADB-BDB4-45EE136A6BC9}">
  <sheetPr codeName="Sheet11"/>
  <dimension ref="A1:E2"/>
  <sheetViews>
    <sheetView workbookViewId="0"/>
  </sheetViews>
  <sheetFormatPr defaultRowHeight="14.4" x14ac:dyDescent="0.3"/>
  <cols>
    <col min="1" max="1" width="9" bestFit="1" customWidth="1"/>
    <col min="2" max="2" width="8" bestFit="1" customWidth="1"/>
    <col min="3" max="3" width="9.6640625" bestFit="1" customWidth="1"/>
    <col min="4" max="4" width="10.44140625" bestFit="1" customWidth="1"/>
    <col min="5" max="5" width="13.21875" bestFit="1" customWidth="1"/>
    <col min="6" max="6" width="23" bestFit="1" customWidth="1"/>
  </cols>
  <sheetData>
    <row r="1" spans="1:5" x14ac:dyDescent="0.3">
      <c r="A1" t="s">
        <v>291</v>
      </c>
      <c r="B1" t="s">
        <v>292</v>
      </c>
      <c r="C1" t="s">
        <v>293</v>
      </c>
      <c r="D1" t="s">
        <v>294</v>
      </c>
      <c r="E1" t="s">
        <v>303</v>
      </c>
    </row>
    <row r="2" spans="1:5" x14ac:dyDescent="0.3">
      <c r="A2">
        <v>52.204720000000002</v>
      </c>
      <c r="B2">
        <v>0.14055999999999999</v>
      </c>
      <c r="C2">
        <v>90</v>
      </c>
      <c r="D2">
        <v>15</v>
      </c>
      <c r="E2" t="s">
        <v>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4B6D3-33E7-46BE-96EF-D717FF28CDD2}">
  <dimension ref="A1:F362"/>
  <sheetViews>
    <sheetView tabSelected="1" workbookViewId="0">
      <selection activeCell="E1" sqref="E1:E1048576"/>
    </sheetView>
  </sheetViews>
  <sheetFormatPr defaultRowHeight="14.4" x14ac:dyDescent="0.3"/>
  <cols>
    <col min="1" max="1" width="9" bestFit="1" customWidth="1"/>
    <col min="2" max="2" width="8" bestFit="1" customWidth="1"/>
    <col min="3" max="3" width="10.44140625" bestFit="1" customWidth="1"/>
    <col min="4" max="4" width="9.6640625" bestFit="1" customWidth="1"/>
    <col min="5" max="6" width="14.6640625" bestFit="1" customWidth="1"/>
  </cols>
  <sheetData>
    <row r="1" spans="1:6" x14ac:dyDescent="0.3">
      <c r="A1" t="s">
        <v>291</v>
      </c>
      <c r="B1" t="s">
        <v>292</v>
      </c>
      <c r="C1" t="s">
        <v>294</v>
      </c>
      <c r="D1" t="s">
        <v>293</v>
      </c>
      <c r="E1" t="s">
        <v>304</v>
      </c>
      <c r="F1" t="s">
        <v>305</v>
      </c>
    </row>
    <row r="2" spans="1:6" x14ac:dyDescent="0.3">
      <c r="A2">
        <v>52.204720000000002</v>
      </c>
      <c r="B2">
        <v>0.14055999999999999</v>
      </c>
      <c r="C2">
        <v>15</v>
      </c>
      <c r="D2">
        <v>0</v>
      </c>
      <c r="E2">
        <v>52.339468074300541</v>
      </c>
      <c r="F2">
        <v>0.14055999999999999</v>
      </c>
    </row>
    <row r="3" spans="1:6" x14ac:dyDescent="0.3">
      <c r="A3">
        <v>52.204720000000002</v>
      </c>
      <c r="B3">
        <v>0.14055999999999999</v>
      </c>
      <c r="C3">
        <v>15</v>
      </c>
      <c r="D3">
        <v>1</v>
      </c>
      <c r="E3">
        <v>52.339447489059573</v>
      </c>
      <c r="F3">
        <v>0.14440900934513146</v>
      </c>
    </row>
    <row r="4" spans="1:6" x14ac:dyDescent="0.3">
      <c r="A4">
        <v>52.204720000000002</v>
      </c>
      <c r="B4">
        <v>0.14055999999999999</v>
      </c>
      <c r="C4">
        <v>15</v>
      </c>
      <c r="D4">
        <v>2</v>
      </c>
      <c r="E4">
        <v>52.339385739664642</v>
      </c>
      <c r="F4">
        <v>0.14825683551418825</v>
      </c>
    </row>
    <row r="5" spans="1:6" x14ac:dyDescent="0.3">
      <c r="A5">
        <v>52.204720000000002</v>
      </c>
      <c r="B5">
        <v>0.14055999999999999</v>
      </c>
      <c r="C5">
        <v>15</v>
      </c>
      <c r="D5">
        <v>3</v>
      </c>
      <c r="E5">
        <v>52.339282845097586</v>
      </c>
      <c r="F5">
        <v>0.15210229570472891</v>
      </c>
    </row>
    <row r="6" spans="1:6" x14ac:dyDescent="0.3">
      <c r="A6">
        <v>52.204720000000002</v>
      </c>
      <c r="B6">
        <v>0.14055999999999999</v>
      </c>
      <c r="C6">
        <v>15</v>
      </c>
      <c r="D6">
        <v>4</v>
      </c>
      <c r="E6">
        <v>52.33913883698817</v>
      </c>
      <c r="F6">
        <v>0.1559442078614483</v>
      </c>
    </row>
    <row r="7" spans="1:6" x14ac:dyDescent="0.3">
      <c r="A7">
        <v>52.204720000000002</v>
      </c>
      <c r="B7">
        <v>0.14055999999999999</v>
      </c>
      <c r="C7">
        <v>15</v>
      </c>
      <c r="D7">
        <v>5</v>
      </c>
      <c r="E7">
        <v>52.33895375960406</v>
      </c>
      <c r="F7">
        <v>0.15978139104941957</v>
      </c>
    </row>
    <row r="8" spans="1:6" x14ac:dyDescent="0.3">
      <c r="A8">
        <v>52.204720000000002</v>
      </c>
      <c r="B8">
        <v>0.14055999999999999</v>
      </c>
      <c r="C8">
        <v>15</v>
      </c>
      <c r="D8">
        <v>6</v>
      </c>
      <c r="E8">
        <v>52.338727669836871</v>
      </c>
      <c r="F8">
        <v>0.16361266582694595</v>
      </c>
    </row>
    <row r="9" spans="1:6" x14ac:dyDescent="0.3">
      <c r="A9">
        <v>52.204720000000002</v>
      </c>
      <c r="B9">
        <v>0.14055999999999999</v>
      </c>
      <c r="C9">
        <v>15</v>
      </c>
      <c r="D9">
        <v>7</v>
      </c>
      <c r="E9">
        <v>52.338460637184198</v>
      </c>
      <c r="F9">
        <v>0.16743685461789115</v>
      </c>
    </row>
    <row r="10" spans="1:6" x14ac:dyDescent="0.3">
      <c r="A10">
        <v>52.204720000000002</v>
      </c>
      <c r="B10">
        <v>0.14055999999999999</v>
      </c>
      <c r="C10">
        <v>15</v>
      </c>
      <c r="D10">
        <v>8</v>
      </c>
      <c r="E10">
        <v>52.33815274372764</v>
      </c>
      <c r="F10">
        <v>0.17125278208335978</v>
      </c>
    </row>
    <row r="11" spans="1:6" x14ac:dyDescent="0.3">
      <c r="A11">
        <v>52.204720000000002</v>
      </c>
      <c r="B11">
        <v>0.14055999999999999</v>
      </c>
      <c r="C11">
        <v>15</v>
      </c>
      <c r="D11">
        <v>9</v>
      </c>
      <c r="E11">
        <v>52.337804084106928</v>
      </c>
      <c r="F11">
        <v>0.17505927549259725</v>
      </c>
    </row>
    <row r="12" spans="1:6" x14ac:dyDescent="0.3">
      <c r="A12">
        <v>52.204720000000002</v>
      </c>
      <c r="B12">
        <v>0.14055999999999999</v>
      </c>
      <c r="C12">
        <v>15</v>
      </c>
      <c r="D12">
        <v>10</v>
      </c>
      <c r="E12">
        <v>52.337414765489989</v>
      </c>
      <c r="F12">
        <v>0.17885516509298111</v>
      </c>
    </row>
    <row r="13" spans="1:6" x14ac:dyDescent="0.3">
      <c r="A13">
        <v>52.204720000000002</v>
      </c>
      <c r="B13">
        <v>0.14055999999999999</v>
      </c>
      <c r="C13">
        <v>15</v>
      </c>
      <c r="D13">
        <v>11</v>
      </c>
      <c r="E13">
        <v>52.336984907539161</v>
      </c>
      <c r="F13">
        <v>0.18263928447897432</v>
      </c>
    </row>
    <row r="14" spans="1:6" x14ac:dyDescent="0.3">
      <c r="A14">
        <v>52.204720000000002</v>
      </c>
      <c r="B14">
        <v>0.14055999999999999</v>
      </c>
      <c r="C14">
        <v>15</v>
      </c>
      <c r="D14">
        <v>12</v>
      </c>
      <c r="E14">
        <v>52.33651464237343</v>
      </c>
      <c r="F14">
        <v>0.18641047095991303</v>
      </c>
    </row>
    <row r="15" spans="1:6" x14ac:dyDescent="0.3">
      <c r="A15">
        <v>52.204720000000002</v>
      </c>
      <c r="B15">
        <v>0.14055999999999999</v>
      </c>
      <c r="C15">
        <v>15</v>
      </c>
      <c r="D15">
        <v>13</v>
      </c>
      <c r="E15">
        <v>52.336004114526652</v>
      </c>
      <c r="F15">
        <v>0.19016756592650047</v>
      </c>
    </row>
    <row r="16" spans="1:6" x14ac:dyDescent="0.3">
      <c r="A16">
        <v>52.204720000000002</v>
      </c>
      <c r="B16">
        <v>0.14055999999999999</v>
      </c>
      <c r="C16">
        <v>15</v>
      </c>
      <c r="D16">
        <v>14</v>
      </c>
      <c r="E16">
        <v>52.335453480902004</v>
      </c>
      <c r="F16">
        <v>0.19390941521588084</v>
      </c>
    </row>
    <row r="17" spans="1:6" x14ac:dyDescent="0.3">
      <c r="A17">
        <v>52.204720000000002</v>
      </c>
      <c r="B17">
        <v>0.14055999999999999</v>
      </c>
      <c r="C17">
        <v>15</v>
      </c>
      <c r="D17">
        <v>15</v>
      </c>
      <c r="E17">
        <v>52.33486291072245</v>
      </c>
      <c r="F17">
        <v>0.19763486947516584</v>
      </c>
    </row>
    <row r="18" spans="1:6" x14ac:dyDescent="0.3">
      <c r="A18">
        <v>52.204720000000002</v>
      </c>
      <c r="B18">
        <v>0.14055999999999999</v>
      </c>
      <c r="C18">
        <v>15</v>
      </c>
      <c r="D18">
        <v>16</v>
      </c>
      <c r="E18">
        <v>52.334232585477373</v>
      </c>
      <c r="F18">
        <v>0.20134278452328921</v>
      </c>
    </row>
    <row r="19" spans="1:6" x14ac:dyDescent="0.3">
      <c r="A19">
        <v>52.204720000000002</v>
      </c>
      <c r="B19">
        <v>0.14055999999999999</v>
      </c>
      <c r="C19">
        <v>15</v>
      </c>
      <c r="D19">
        <v>17</v>
      </c>
      <c r="E19">
        <v>52.333562698865293</v>
      </c>
      <c r="F19">
        <v>0.20503202171106341</v>
      </c>
    </row>
    <row r="20" spans="1:6" x14ac:dyDescent="0.3">
      <c r="A20">
        <v>52.204720000000002</v>
      </c>
      <c r="B20">
        <v>0.14055999999999999</v>
      </c>
      <c r="C20">
        <v>15</v>
      </c>
      <c r="D20">
        <v>18</v>
      </c>
      <c r="E20">
        <v>52.332853456732764</v>
      </c>
      <c r="F20">
        <v>0.20870144827931542</v>
      </c>
    </row>
    <row r="21" spans="1:6" x14ac:dyDescent="0.3">
      <c r="A21">
        <v>52.204720000000002</v>
      </c>
      <c r="B21">
        <v>0.14055999999999999</v>
      </c>
      <c r="C21">
        <v>15</v>
      </c>
      <c r="D21">
        <v>19</v>
      </c>
      <c r="E21">
        <v>52.332105077009516</v>
      </c>
      <c r="F21">
        <v>0.21234993771497776</v>
      </c>
    </row>
    <row r="22" spans="1:6" x14ac:dyDescent="0.3">
      <c r="A22">
        <v>52.204720000000002</v>
      </c>
      <c r="B22">
        <v>0.14055999999999999</v>
      </c>
      <c r="C22">
        <v>15</v>
      </c>
      <c r="D22">
        <v>20</v>
      </c>
      <c r="E22">
        <v>52.331317789639648</v>
      </c>
      <c r="F22">
        <v>0.21597637010501286</v>
      </c>
    </row>
    <row r="23" spans="1:6" x14ac:dyDescent="0.3">
      <c r="A23">
        <v>52.204720000000002</v>
      </c>
      <c r="B23">
        <v>0.14055999999999999</v>
      </c>
      <c r="C23">
        <v>15</v>
      </c>
      <c r="D23">
        <v>21</v>
      </c>
      <c r="E23">
        <v>52.33049183650926</v>
      </c>
      <c r="F23">
        <v>0.21957963248804946</v>
      </c>
    </row>
    <row r="24" spans="1:6" x14ac:dyDescent="0.3">
      <c r="A24">
        <v>52.204720000000002</v>
      </c>
      <c r="B24">
        <v>0.14055999999999999</v>
      </c>
      <c r="C24">
        <v>15</v>
      </c>
      <c r="D24">
        <v>22</v>
      </c>
      <c r="E24">
        <v>52.329627471370124</v>
      </c>
      <c r="F24">
        <v>0.22315861920361124</v>
      </c>
    </row>
    <row r="25" spans="1:6" x14ac:dyDescent="0.3">
      <c r="A25">
        <v>52.204720000000002</v>
      </c>
      <c r="B25">
        <v>0.14055999999999999</v>
      </c>
      <c r="C25">
        <v>15</v>
      </c>
      <c r="D25">
        <v>23</v>
      </c>
      <c r="E25">
        <v>52.328724959759732</v>
      </c>
      <c r="F25">
        <v>0.22671223223881795</v>
      </c>
    </row>
    <row r="26" spans="1:6" x14ac:dyDescent="0.3">
      <c r="A26">
        <v>52.204720000000002</v>
      </c>
      <c r="B26">
        <v>0.14055999999999999</v>
      </c>
      <c r="C26">
        <v>15</v>
      </c>
      <c r="D26">
        <v>24</v>
      </c>
      <c r="E26">
        <v>52.327784578917736</v>
      </c>
      <c r="F26">
        <v>0.23023938157244195</v>
      </c>
    </row>
    <row r="27" spans="1:6" x14ac:dyDescent="0.3">
      <c r="A27">
        <v>52.204720000000002</v>
      </c>
      <c r="B27">
        <v>0.14055999999999999</v>
      </c>
      <c r="C27">
        <v>15</v>
      </c>
      <c r="D27">
        <v>25</v>
      </c>
      <c r="E27">
        <v>52.326806617698487</v>
      </c>
      <c r="F27">
        <v>0.23373898551620295</v>
      </c>
    </row>
    <row r="28" spans="1:6" x14ac:dyDescent="0.3">
      <c r="A28">
        <v>52.204720000000002</v>
      </c>
      <c r="B28">
        <v>0.14055999999999999</v>
      </c>
      <c r="C28">
        <v>15</v>
      </c>
      <c r="D28">
        <v>26</v>
      </c>
      <c r="E28">
        <v>52.32579137648024</v>
      </c>
      <c r="F28">
        <v>0.23720997105318589</v>
      </c>
    </row>
    <row r="29" spans="1:6" x14ac:dyDescent="0.3">
      <c r="A29">
        <v>52.204720000000002</v>
      </c>
      <c r="B29">
        <v>0.14055999999999999</v>
      </c>
      <c r="C29">
        <v>15</v>
      </c>
      <c r="D29">
        <v>27</v>
      </c>
      <c r="E29">
        <v>52.324739167070469</v>
      </c>
      <c r="F29">
        <v>0.24065127417326743</v>
      </c>
    </row>
    <row r="30" spans="1:6" x14ac:dyDescent="0.3">
      <c r="A30">
        <v>52.204720000000002</v>
      </c>
      <c r="B30">
        <v>0.14055999999999999</v>
      </c>
      <c r="C30">
        <v>15</v>
      </c>
      <c r="D30">
        <v>28</v>
      </c>
      <c r="E30">
        <v>52.323650312607782</v>
      </c>
      <c r="F30">
        <v>0.2440618402054387</v>
      </c>
    </row>
    <row r="31" spans="1:6" x14ac:dyDescent="0.3">
      <c r="A31">
        <v>52.204720000000002</v>
      </c>
      <c r="B31">
        <v>0.14055999999999999</v>
      </c>
      <c r="C31">
        <v>15</v>
      </c>
      <c r="D31">
        <v>29</v>
      </c>
      <c r="E31">
        <v>52.322525147460297</v>
      </c>
      <c r="F31">
        <v>0.24744062414691331</v>
      </c>
    </row>
    <row r="32" spans="1:6" x14ac:dyDescent="0.3">
      <c r="A32">
        <v>52.204720000000002</v>
      </c>
      <c r="B32">
        <v>0.14055999999999999</v>
      </c>
      <c r="C32">
        <v>15</v>
      </c>
      <c r="D32">
        <v>30</v>
      </c>
      <c r="E32">
        <v>52.321364017120409</v>
      </c>
      <c r="F32">
        <v>0.25078659098890921</v>
      </c>
    </row>
    <row r="33" spans="1:6" x14ac:dyDescent="0.3">
      <c r="A33">
        <v>52.204720000000002</v>
      </c>
      <c r="B33">
        <v>0.14055999999999999</v>
      </c>
      <c r="C33">
        <v>15</v>
      </c>
      <c r="D33">
        <v>31</v>
      </c>
      <c r="E33">
        <v>52.320167278096186</v>
      </c>
      <c r="F33">
        <v>0.25409871603899853</v>
      </c>
    </row>
    <row r="34" spans="1:6" x14ac:dyDescent="0.3">
      <c r="A34">
        <v>52.204720000000002</v>
      </c>
      <c r="B34">
        <v>0.14055999999999999</v>
      </c>
      <c r="C34">
        <v>15</v>
      </c>
      <c r="D34">
        <v>32</v>
      </c>
      <c r="E34">
        <v>52.318935297799307</v>
      </c>
      <c r="F34">
        <v>0.25737598523991567</v>
      </c>
    </row>
    <row r="35" spans="1:6" x14ac:dyDescent="0.3">
      <c r="A35">
        <v>52.204720000000002</v>
      </c>
      <c r="B35">
        <v>0.14055999999999999</v>
      </c>
      <c r="C35">
        <v>15</v>
      </c>
      <c r="D35">
        <v>33</v>
      </c>
      <c r="E35">
        <v>52.317668454429615</v>
      </c>
      <c r="F35">
        <v>0.26061739548472107</v>
      </c>
    </row>
    <row r="36" spans="1:6" x14ac:dyDescent="0.3">
      <c r="A36">
        <v>52.204720000000002</v>
      </c>
      <c r="B36">
        <v>0.14055999999999999</v>
      </c>
      <c r="C36">
        <v>15</v>
      </c>
      <c r="D36">
        <v>34</v>
      </c>
      <c r="E36">
        <v>52.316367136856279</v>
      </c>
      <c r="F36">
        <v>0.26382195492821514</v>
      </c>
    </row>
    <row r="37" spans="1:6" x14ac:dyDescent="0.3">
      <c r="A37">
        <v>52.204720000000002</v>
      </c>
      <c r="B37">
        <v>0.14055999999999999</v>
      </c>
      <c r="C37">
        <v>15</v>
      </c>
      <c r="D37">
        <v>35</v>
      </c>
      <c r="E37">
        <v>52.315031744495727</v>
      </c>
      <c r="F37">
        <v>0.26698868329450098</v>
      </c>
    </row>
    <row r="38" spans="1:6" x14ac:dyDescent="0.3">
      <c r="A38">
        <v>52.204720000000002</v>
      </c>
      <c r="B38">
        <v>0.14055999999999999</v>
      </c>
      <c r="C38">
        <v>15</v>
      </c>
      <c r="D38">
        <v>36</v>
      </c>
      <c r="E38">
        <v>52.313662687186188</v>
      </c>
      <c r="F38">
        <v>0.27011661218059657</v>
      </c>
    </row>
    <row r="39" spans="1:6" x14ac:dyDescent="0.3">
      <c r="A39">
        <v>52.204720000000002</v>
      </c>
      <c r="B39">
        <v>0.14055999999999999</v>
      </c>
      <c r="C39">
        <v>15</v>
      </c>
      <c r="D39">
        <v>37</v>
      </c>
      <c r="E39">
        <v>52.312260385059183</v>
      </c>
      <c r="F39">
        <v>0.27320478535599579</v>
      </c>
    </row>
    <row r="40" spans="1:6" x14ac:dyDescent="0.3">
      <c r="A40">
        <v>52.204720000000002</v>
      </c>
      <c r="B40">
        <v>0.14055999999999999</v>
      </c>
      <c r="C40">
        <v>15</v>
      </c>
      <c r="D40">
        <v>38</v>
      </c>
      <c r="E40">
        <v>52.310825268407633</v>
      </c>
      <c r="F40">
        <v>0.27625225905808404</v>
      </c>
    </row>
    <row r="41" spans="1:6" x14ac:dyDescent="0.3">
      <c r="A41">
        <v>52.204720000000002</v>
      </c>
      <c r="B41">
        <v>0.14055999999999999</v>
      </c>
      <c r="C41">
        <v>15</v>
      </c>
      <c r="D41">
        <v>39</v>
      </c>
      <c r="E41">
        <v>52.309357777551007</v>
      </c>
      <c r="F41">
        <v>0.27925810228331177</v>
      </c>
    </row>
    <row r="42" spans="1:6" x14ac:dyDescent="0.3">
      <c r="A42">
        <v>52.204720000000002</v>
      </c>
      <c r="B42">
        <v>0.14055999999999999</v>
      </c>
      <c r="C42">
        <v>15</v>
      </c>
      <c r="D42">
        <v>40</v>
      </c>
      <c r="E42">
        <v>52.307858362697232</v>
      </c>
      <c r="F42">
        <v>0.28222139707403315</v>
      </c>
    </row>
    <row r="43" spans="1:6" x14ac:dyDescent="0.3">
      <c r="A43">
        <v>52.204720000000002</v>
      </c>
      <c r="B43">
        <v>0.14055999999999999</v>
      </c>
      <c r="C43">
        <v>15</v>
      </c>
      <c r="D43">
        <v>41</v>
      </c>
      <c r="E43">
        <v>52.306327483801695</v>
      </c>
      <c r="F43">
        <v>0.28514123880092029</v>
      </c>
    </row>
    <row r="44" spans="1:6" x14ac:dyDescent="0.3">
      <c r="A44">
        <v>52.204720000000002</v>
      </c>
      <c r="B44">
        <v>0.14055999999999999</v>
      </c>
      <c r="C44">
        <v>15</v>
      </c>
      <c r="D44">
        <v>42</v>
      </c>
      <c r="E44">
        <v>52.304765610423161</v>
      </c>
      <c r="F44">
        <v>0.28801673644086062</v>
      </c>
    </row>
    <row r="45" spans="1:6" x14ac:dyDescent="0.3">
      <c r="A45">
        <v>52.204720000000002</v>
      </c>
      <c r="B45">
        <v>0.14055999999999999</v>
      </c>
      <c r="C45">
        <v>15</v>
      </c>
      <c r="D45">
        <v>43</v>
      </c>
      <c r="E45">
        <v>52.303173221576728</v>
      </c>
      <c r="F45">
        <v>0.29084701285025388</v>
      </c>
    </row>
    <row r="46" spans="1:6" x14ac:dyDescent="0.3">
      <c r="A46">
        <v>52.204720000000002</v>
      </c>
      <c r="B46">
        <v>0.14055999999999999</v>
      </c>
      <c r="C46">
        <v>15</v>
      </c>
      <c r="D46">
        <v>44</v>
      </c>
      <c r="E46">
        <v>52.301550805583972</v>
      </c>
      <c r="F46">
        <v>0.29363120503362045</v>
      </c>
    </row>
    <row r="47" spans="1:6" x14ac:dyDescent="0.3">
      <c r="A47">
        <v>52.204720000000002</v>
      </c>
      <c r="B47">
        <v>0.14055999999999999</v>
      </c>
      <c r="C47">
        <v>15</v>
      </c>
      <c r="D47">
        <v>45</v>
      </c>
      <c r="E47">
        <v>52.299898859920148</v>
      </c>
      <c r="F47">
        <v>0.29636846440743875</v>
      </c>
    </row>
    <row r="48" spans="1:6" x14ac:dyDescent="0.3">
      <c r="A48">
        <v>52.204720000000002</v>
      </c>
      <c r="B48">
        <v>0.14055999999999999</v>
      </c>
      <c r="C48">
        <v>15</v>
      </c>
      <c r="D48">
        <v>46</v>
      </c>
      <c r="E48">
        <v>52.298217891058698</v>
      </c>
      <c r="F48">
        <v>0.29905795705913157</v>
      </c>
    </row>
    <row r="49" spans="1:6" x14ac:dyDescent="0.3">
      <c r="A49">
        <v>52.204720000000002</v>
      </c>
      <c r="B49">
        <v>0.14055999999999999</v>
      </c>
      <c r="C49">
        <v>15</v>
      </c>
      <c r="D49">
        <v>47</v>
      </c>
      <c r="E49">
        <v>52.296508414312896</v>
      </c>
      <c r="F49">
        <v>0.30169886400111956</v>
      </c>
    </row>
    <row r="50" spans="1:6" x14ac:dyDescent="0.3">
      <c r="A50">
        <v>52.204720000000002</v>
      </c>
      <c r="B50">
        <v>0.14055999999999999</v>
      </c>
      <c r="C50">
        <v>15</v>
      </c>
      <c r="D50">
        <v>48</v>
      </c>
      <c r="E50">
        <v>52.294770953674906</v>
      </c>
      <c r="F50">
        <v>0.30429038141986753</v>
      </c>
    </row>
    <row r="51" spans="1:6" x14ac:dyDescent="0.3">
      <c r="A51">
        <v>52.204720000000002</v>
      </c>
      <c r="B51">
        <v>0.14055999999999999</v>
      </c>
      <c r="C51">
        <v>15</v>
      </c>
      <c r="D51">
        <v>49</v>
      </c>
      <c r="E51">
        <v>52.293006041652141</v>
      </c>
      <c r="F51">
        <v>0.30683172091984623</v>
      </c>
    </row>
    <row r="52" spans="1:6" x14ac:dyDescent="0.3">
      <c r="A52">
        <v>52.204720000000002</v>
      </c>
      <c r="B52">
        <v>0.14055999999999999</v>
      </c>
      <c r="C52">
        <v>15</v>
      </c>
      <c r="D52">
        <v>50</v>
      </c>
      <c r="E52">
        <v>52.291214219101079</v>
      </c>
      <c r="F52">
        <v>0.30932210976233854</v>
      </c>
    </row>
    <row r="53" spans="1:6" x14ac:dyDescent="0.3">
      <c r="A53">
        <v>52.204720000000002</v>
      </c>
      <c r="B53">
        <v>0.14055999999999999</v>
      </c>
      <c r="C53">
        <v>15</v>
      </c>
      <c r="D53">
        <v>51</v>
      </c>
      <c r="E53">
        <v>52.28939603505853</v>
      </c>
      <c r="F53">
        <v>0.31176079109901766</v>
      </c>
    </row>
    <row r="54" spans="1:6" x14ac:dyDescent="0.3">
      <c r="A54">
        <v>52.204720000000002</v>
      </c>
      <c r="B54">
        <v>0.14055999999999999</v>
      </c>
      <c r="C54">
        <v>15</v>
      </c>
      <c r="D54">
        <v>52</v>
      </c>
      <c r="E54">
        <v>52.28755204657044</v>
      </c>
      <c r="F54">
        <v>0.31414702420023011</v>
      </c>
    </row>
    <row r="55" spans="1:6" x14ac:dyDescent="0.3">
      <c r="A55">
        <v>52.204720000000002</v>
      </c>
      <c r="B55">
        <v>0.14055999999999999</v>
      </c>
      <c r="C55">
        <v>15</v>
      </c>
      <c r="D55">
        <v>53</v>
      </c>
      <c r="E55">
        <v>52.285682818518261</v>
      </c>
      <c r="F55">
        <v>0.31648008467791627</v>
      </c>
    </row>
    <row r="56" spans="1:6" x14ac:dyDescent="0.3">
      <c r="A56">
        <v>52.204720000000002</v>
      </c>
      <c r="B56">
        <v>0.14055999999999999</v>
      </c>
      <c r="C56">
        <v>15</v>
      </c>
      <c r="D56">
        <v>54</v>
      </c>
      <c r="E56">
        <v>52.283788923443034</v>
      </c>
      <c r="F56">
        <v>0.31875926470310434</v>
      </c>
    </row>
    <row r="57" spans="1:6" x14ac:dyDescent="0.3">
      <c r="A57">
        <v>52.204720000000002</v>
      </c>
      <c r="B57">
        <v>0.14055999999999999</v>
      </c>
      <c r="C57">
        <v>15</v>
      </c>
      <c r="D57">
        <v>55</v>
      </c>
      <c r="E57">
        <v>52.281870941367075</v>
      </c>
      <c r="F57">
        <v>0.32098387321791622</v>
      </c>
    </row>
    <row r="58" spans="1:6" x14ac:dyDescent="0.3">
      <c r="A58">
        <v>52.204720000000002</v>
      </c>
      <c r="B58">
        <v>0.14055999999999999</v>
      </c>
      <c r="C58">
        <v>15</v>
      </c>
      <c r="D58">
        <v>56</v>
      </c>
      <c r="E58">
        <v>52.279929459613541</v>
      </c>
      <c r="F58">
        <v>0.32315323614202462</v>
      </c>
    </row>
    <row r="59" spans="1:6" x14ac:dyDescent="0.3">
      <c r="A59">
        <v>52.204720000000002</v>
      </c>
      <c r="B59">
        <v>0.14055999999999999</v>
      </c>
      <c r="C59">
        <v>15</v>
      </c>
      <c r="D59">
        <v>57</v>
      </c>
      <c r="E59">
        <v>52.277965072623658</v>
      </c>
      <c r="F59">
        <v>0.32526669657350477</v>
      </c>
    </row>
    <row r="60" spans="1:6" x14ac:dyDescent="0.3">
      <c r="A60">
        <v>52.204720000000002</v>
      </c>
      <c r="B60">
        <v>0.14055999999999999</v>
      </c>
      <c r="C60">
        <v>15</v>
      </c>
      <c r="D60">
        <v>58</v>
      </c>
      <c r="E60">
        <v>52.275978381772049</v>
      </c>
      <c r="F60">
        <v>0.32732361498402507</v>
      </c>
    </row>
    <row r="61" spans="1:6" x14ac:dyDescent="0.3">
      <c r="A61">
        <v>52.204720000000002</v>
      </c>
      <c r="B61">
        <v>0.14055999999999999</v>
      </c>
      <c r="C61">
        <v>15</v>
      </c>
      <c r="D61">
        <v>59</v>
      </c>
      <c r="E61">
        <v>52.27396999517979</v>
      </c>
      <c r="F61">
        <v>0.3293233694083228</v>
      </c>
    </row>
    <row r="62" spans="1:6" x14ac:dyDescent="0.3">
      <c r="A62">
        <v>52.204720000000002</v>
      </c>
      <c r="B62">
        <v>0.14055999999999999</v>
      </c>
      <c r="C62">
        <v>15</v>
      </c>
      <c r="D62">
        <v>60</v>
      </c>
      <c r="E62">
        <v>52.271940527525608</v>
      </c>
      <c r="F62">
        <v>0.33126535562791593</v>
      </c>
    </row>
    <row r="63" spans="1:6" x14ac:dyDescent="0.3">
      <c r="A63">
        <v>52.204720000000002</v>
      </c>
      <c r="B63">
        <v>0.14055999999999999</v>
      </c>
      <c r="C63">
        <v>15</v>
      </c>
      <c r="D63">
        <v>61</v>
      </c>
      <c r="E63">
        <v>52.269890599855074</v>
      </c>
      <c r="F63">
        <v>0.33314898734900039</v>
      </c>
    </row>
    <row r="64" spans="1:6" x14ac:dyDescent="0.3">
      <c r="A64">
        <v>52.204720000000002</v>
      </c>
      <c r="B64">
        <v>0.14055999999999999</v>
      </c>
      <c r="C64">
        <v>15</v>
      </c>
      <c r="D64">
        <v>62</v>
      </c>
      <c r="E64">
        <v>52.267820839387987</v>
      </c>
      <c r="F64">
        <v>0.33497369637448787</v>
      </c>
    </row>
    <row r="65" spans="1:6" x14ac:dyDescent="0.3">
      <c r="A65">
        <v>52.204720000000002</v>
      </c>
      <c r="B65">
        <v>0.14055999999999999</v>
      </c>
      <c r="C65">
        <v>15</v>
      </c>
      <c r="D65">
        <v>63</v>
      </c>
      <c r="E65">
        <v>52.265731879323894</v>
      </c>
      <c r="F65">
        <v>0.33673893277014022</v>
      </c>
    </row>
    <row r="66" spans="1:6" x14ac:dyDescent="0.3">
      <c r="A66">
        <v>52.204720000000002</v>
      </c>
      <c r="B66">
        <v>0.14055999999999999</v>
      </c>
      <c r="C66">
        <v>15</v>
      </c>
      <c r="D66">
        <v>64</v>
      </c>
      <c r="E66">
        <v>52.263624358645899</v>
      </c>
      <c r="F66">
        <v>0.33844416502475749</v>
      </c>
    </row>
    <row r="67" spans="1:6" x14ac:dyDescent="0.3">
      <c r="A67">
        <v>52.204720000000002</v>
      </c>
      <c r="B67">
        <v>0.14055999999999999</v>
      </c>
      <c r="C67">
        <v>15</v>
      </c>
      <c r="D67">
        <v>65</v>
      </c>
      <c r="E67">
        <v>52.261498921922787</v>
      </c>
      <c r="F67">
        <v>0.34008888020438144</v>
      </c>
    </row>
    <row r="68" spans="1:6" x14ac:dyDescent="0.3">
      <c r="A68">
        <v>52.204720000000002</v>
      </c>
      <c r="B68">
        <v>0.14055999999999999</v>
      </c>
      <c r="C68">
        <v>15</v>
      </c>
      <c r="D68">
        <v>66</v>
      </c>
      <c r="E68">
        <v>52.259356219109485</v>
      </c>
      <c r="F68">
        <v>0.34167258410047691</v>
      </c>
    </row>
    <row r="69" spans="1:6" x14ac:dyDescent="0.3">
      <c r="A69">
        <v>52.204720000000002</v>
      </c>
      <c r="B69">
        <v>0.14055999999999999</v>
      </c>
      <c r="C69">
        <v>15</v>
      </c>
      <c r="D69">
        <v>67</v>
      </c>
      <c r="E69">
        <v>52.257196905346056</v>
      </c>
      <c r="F69">
        <v>0.34319480137205582</v>
      </c>
    </row>
    <row r="70" spans="1:6" x14ac:dyDescent="0.3">
      <c r="A70">
        <v>52.204720000000002</v>
      </c>
      <c r="B70">
        <v>0.14055999999999999</v>
      </c>
      <c r="C70">
        <v>15</v>
      </c>
      <c r="D70">
        <v>68</v>
      </c>
      <c r="E70">
        <v>52.255021640755132</v>
      </c>
      <c r="F70">
        <v>0.34465507568171155</v>
      </c>
    </row>
    <row r="71" spans="1:6" x14ac:dyDescent="0.3">
      <c r="A71">
        <v>52.204720000000002</v>
      </c>
      <c r="B71">
        <v>0.14055999999999999</v>
      </c>
      <c r="C71">
        <v>15</v>
      </c>
      <c r="D71">
        <v>69</v>
      </c>
      <c r="E71">
        <v>52.25283109023799</v>
      </c>
      <c r="F71">
        <v>0.34605296982553363</v>
      </c>
    </row>
    <row r="72" spans="1:6" x14ac:dyDescent="0.3">
      <c r="A72">
        <v>52.204720000000002</v>
      </c>
      <c r="B72">
        <v>0.14055999999999999</v>
      </c>
      <c r="C72">
        <v>15</v>
      </c>
      <c r="D72">
        <v>70</v>
      </c>
      <c r="E72">
        <v>52.250625923269183</v>
      </c>
      <c r="F72">
        <v>0.34738806585687321</v>
      </c>
    </row>
    <row r="73" spans="1:6" x14ac:dyDescent="0.3">
      <c r="A73">
        <v>52.204720000000002</v>
      </c>
      <c r="B73">
        <v>0.14055999999999999</v>
      </c>
      <c r="C73">
        <v>15</v>
      </c>
      <c r="D73">
        <v>71</v>
      </c>
      <c r="E73">
        <v>52.248406813689961</v>
      </c>
      <c r="F73">
        <v>0.34865996520393561</v>
      </c>
    </row>
    <row r="74" spans="1:6" x14ac:dyDescent="0.3">
      <c r="A74">
        <v>52.204720000000002</v>
      </c>
      <c r="B74">
        <v>0.14055999999999999</v>
      </c>
      <c r="C74">
        <v>15</v>
      </c>
      <c r="D74">
        <v>72</v>
      </c>
      <c r="E74">
        <v>52.246174439500464</v>
      </c>
      <c r="F74">
        <v>0.34986828878117432</v>
      </c>
    </row>
    <row r="75" spans="1:6" x14ac:dyDescent="0.3">
      <c r="A75">
        <v>52.204720000000002</v>
      </c>
      <c r="B75">
        <v>0.14055999999999999</v>
      </c>
      <c r="C75">
        <v>15</v>
      </c>
      <c r="D75">
        <v>73</v>
      </c>
      <c r="E75">
        <v>52.243929482650664</v>
      </c>
      <c r="F75">
        <v>0.35101267709446676</v>
      </c>
    </row>
    <row r="76" spans="1:6" x14ac:dyDescent="0.3">
      <c r="A76">
        <v>52.204720000000002</v>
      </c>
      <c r="B76">
        <v>0.14055999999999999</v>
      </c>
      <c r="C76">
        <v>15</v>
      </c>
      <c r="D76">
        <v>74</v>
      </c>
      <c r="E76">
        <v>52.241672628830379</v>
      </c>
      <c r="F76">
        <v>0.35209279034005114</v>
      </c>
    </row>
    <row r="77" spans="1:6" x14ac:dyDescent="0.3">
      <c r="A77">
        <v>52.204720000000002</v>
      </c>
      <c r="B77">
        <v>0.14055999999999999</v>
      </c>
      <c r="C77">
        <v>15</v>
      </c>
      <c r="D77">
        <v>75</v>
      </c>
      <c r="E77">
        <v>52.239404567258077</v>
      </c>
      <c r="F77">
        <v>0.35310830849720831</v>
      </c>
    </row>
    <row r="78" spans="1:6" x14ac:dyDescent="0.3">
      <c r="A78">
        <v>52.204720000000002</v>
      </c>
      <c r="B78">
        <v>0.14055999999999999</v>
      </c>
      <c r="C78">
        <v>15</v>
      </c>
      <c r="D78">
        <v>76</v>
      </c>
      <c r="E78">
        <v>52.237125990468876</v>
      </c>
      <c r="F78">
        <v>0.35405893141467454</v>
      </c>
    </row>
    <row r="79" spans="1:6" x14ac:dyDescent="0.3">
      <c r="A79">
        <v>52.204720000000002</v>
      </c>
      <c r="B79">
        <v>0.14055999999999999</v>
      </c>
      <c r="C79">
        <v>15</v>
      </c>
      <c r="D79">
        <v>77</v>
      </c>
      <c r="E79">
        <v>52.234837594101563</v>
      </c>
      <c r="F79">
        <v>0.35494437889077118</v>
      </c>
    </row>
    <row r="80" spans="1:6" x14ac:dyDescent="0.3">
      <c r="A80">
        <v>52.204720000000002</v>
      </c>
      <c r="B80">
        <v>0.14055999999999999</v>
      </c>
      <c r="C80">
        <v>15</v>
      </c>
      <c r="D80">
        <v>78</v>
      </c>
      <c r="E80">
        <v>52.232540076684828</v>
      </c>
      <c r="F80">
        <v>0.35576439074724142</v>
      </c>
    </row>
    <row r="81" spans="1:6" x14ac:dyDescent="0.3">
      <c r="A81">
        <v>52.204720000000002</v>
      </c>
      <c r="B81">
        <v>0.14055999999999999</v>
      </c>
      <c r="C81">
        <v>15</v>
      </c>
      <c r="D81">
        <v>79</v>
      </c>
      <c r="E81">
        <v>52.230234139422748</v>
      </c>
      <c r="F81">
        <v>0.35651872689678715</v>
      </c>
    </row>
    <row r="82" spans="1:6" x14ac:dyDescent="0.3">
      <c r="A82">
        <v>52.204720000000002</v>
      </c>
      <c r="B82">
        <v>0.14055999999999999</v>
      </c>
      <c r="C82">
        <v>15</v>
      </c>
      <c r="D82">
        <v>80</v>
      </c>
      <c r="E82">
        <v>52.227920485979531</v>
      </c>
      <c r="F82">
        <v>0.35720716740429798</v>
      </c>
    </row>
    <row r="83" spans="1:6" x14ac:dyDescent="0.3">
      <c r="A83">
        <v>52.204720000000002</v>
      </c>
      <c r="B83">
        <v>0.14055999999999999</v>
      </c>
      <c r="C83">
        <v>15</v>
      </c>
      <c r="D83">
        <v>81</v>
      </c>
      <c r="E83">
        <v>52.225599822263717</v>
      </c>
      <c r="F83">
        <v>0.35782951254177009</v>
      </c>
    </row>
    <row r="84" spans="1:6" x14ac:dyDescent="0.3">
      <c r="A84">
        <v>52.204720000000002</v>
      </c>
      <c r="B84">
        <v>0.14055999999999999</v>
      </c>
      <c r="C84">
        <v>15</v>
      </c>
      <c r="D84">
        <v>82</v>
      </c>
      <c r="E84">
        <v>52.223272856211736</v>
      </c>
      <c r="F84">
        <v>0.35838558283691169</v>
      </c>
    </row>
    <row r="85" spans="1:6" x14ac:dyDescent="0.3">
      <c r="A85">
        <v>52.204720000000002</v>
      </c>
      <c r="B85">
        <v>0.14055999999999999</v>
      </c>
      <c r="C85">
        <v>15</v>
      </c>
      <c r="D85">
        <v>83</v>
      </c>
      <c r="E85">
        <v>52.220940297571076</v>
      </c>
      <c r="F85">
        <v>0.35887521911543696</v>
      </c>
    </row>
    <row r="86" spans="1:6" x14ac:dyDescent="0.3">
      <c r="A86">
        <v>52.204720000000002</v>
      </c>
      <c r="B86">
        <v>0.14055999999999999</v>
      </c>
      <c r="C86">
        <v>15</v>
      </c>
      <c r="D86">
        <v>84</v>
      </c>
      <c r="E86">
        <v>52.218602857682981</v>
      </c>
      <c r="F86">
        <v>0.35929828253705021</v>
      </c>
    </row>
    <row r="87" spans="1:6" x14ac:dyDescent="0.3">
      <c r="A87">
        <v>52.204720000000002</v>
      </c>
      <c r="B87">
        <v>0.14055999999999999</v>
      </c>
      <c r="C87">
        <v>15</v>
      </c>
      <c r="D87">
        <v>85</v>
      </c>
      <c r="E87">
        <v>52.216261249264782</v>
      </c>
      <c r="F87">
        <v>0.35965465462512325</v>
      </c>
    </row>
    <row r="88" spans="1:6" x14ac:dyDescent="0.3">
      <c r="A88">
        <v>52.204720000000002</v>
      </c>
      <c r="B88">
        <v>0.14055999999999999</v>
      </c>
      <c r="C88">
        <v>15</v>
      </c>
      <c r="D88">
        <v>86</v>
      </c>
      <c r="E88">
        <v>52.213916186191952</v>
      </c>
      <c r="F88">
        <v>0.35994423729007458</v>
      </c>
    </row>
    <row r="89" spans="1:6" x14ac:dyDescent="0.3">
      <c r="A89">
        <v>52.204720000000002</v>
      </c>
      <c r="B89">
        <v>0.14055999999999999</v>
      </c>
      <c r="C89">
        <v>15</v>
      </c>
      <c r="D89">
        <v>87</v>
      </c>
      <c r="E89">
        <v>52.211568383279996</v>
      </c>
      <c r="F89">
        <v>0.360166952846459</v>
      </c>
    </row>
    <row r="90" spans="1:6" x14ac:dyDescent="0.3">
      <c r="A90">
        <v>52.204720000000002</v>
      </c>
      <c r="B90">
        <v>0.14055999999999999</v>
      </c>
      <c r="C90">
        <v>15</v>
      </c>
      <c r="D90">
        <v>88</v>
      </c>
      <c r="E90">
        <v>52.209218556066126</v>
      </c>
      <c r="F90">
        <v>0.36032274402377551</v>
      </c>
    </row>
    <row r="91" spans="1:6" x14ac:dyDescent="0.3">
      <c r="A91">
        <v>52.204720000000002</v>
      </c>
      <c r="B91">
        <v>0.14055999999999999</v>
      </c>
      <c r="C91">
        <v>15</v>
      </c>
      <c r="D91">
        <v>89</v>
      </c>
      <c r="E91">
        <v>52.206867420590918</v>
      </c>
      <c r="F91">
        <v>0.36041157397100843</v>
      </c>
    </row>
    <row r="92" spans="1:6" x14ac:dyDescent="0.3">
      <c r="A92">
        <v>52.204720000000002</v>
      </c>
      <c r="B92">
        <v>0.14055999999999999</v>
      </c>
      <c r="C92">
        <v>15</v>
      </c>
      <c r="D92">
        <v>90</v>
      </c>
      <c r="E92">
        <v>52.204515693179857</v>
      </c>
      <c r="F92">
        <v>0.36043342625491559</v>
      </c>
    </row>
    <row r="93" spans="1:6" x14ac:dyDescent="0.3">
      <c r="A93">
        <v>52.204720000000002</v>
      </c>
      <c r="B93">
        <v>0.14055999999999999</v>
      </c>
      <c r="C93">
        <v>15</v>
      </c>
      <c r="D93">
        <v>91</v>
      </c>
      <c r="E93">
        <v>52.202164090225054</v>
      </c>
      <c r="F93">
        <v>0.3603883048520789</v>
      </c>
    </row>
    <row r="94" spans="1:6" x14ac:dyDescent="0.3">
      <c r="A94">
        <v>52.204720000000002</v>
      </c>
      <c r="B94">
        <v>0.14055999999999999</v>
      </c>
      <c r="C94">
        <v>15</v>
      </c>
      <c r="D94">
        <v>92</v>
      </c>
      <c r="E94">
        <v>52.199813327966964</v>
      </c>
      <c r="F94">
        <v>0.36027623413473731</v>
      </c>
    </row>
    <row r="95" spans="1:6" x14ac:dyDescent="0.3">
      <c r="A95">
        <v>52.204720000000002</v>
      </c>
      <c r="B95">
        <v>0.14055999999999999</v>
      </c>
      <c r="C95">
        <v>15</v>
      </c>
      <c r="D95">
        <v>93</v>
      </c>
      <c r="E95">
        <v>52.197464122276408</v>
      </c>
      <c r="F95">
        <v>0.36009725885042004</v>
      </c>
    </row>
    <row r="96" spans="1:6" x14ac:dyDescent="0.3">
      <c r="A96">
        <v>52.204720000000002</v>
      </c>
      <c r="B96">
        <v>0.14055999999999999</v>
      </c>
      <c r="C96">
        <v>15</v>
      </c>
      <c r="D96">
        <v>94</v>
      </c>
      <c r="E96">
        <v>52.195117188436747</v>
      </c>
      <c r="F96">
        <v>0.35985144409540448</v>
      </c>
    </row>
    <row r="97" spans="1:6" x14ac:dyDescent="0.3">
      <c r="A97">
        <v>52.204720000000002</v>
      </c>
      <c r="B97">
        <v>0.14055999999999999</v>
      </c>
      <c r="C97">
        <v>15</v>
      </c>
      <c r="D97">
        <v>95</v>
      </c>
      <c r="E97">
        <v>52.192773240926428</v>
      </c>
      <c r="F97">
        <v>0.3595388752820205</v>
      </c>
    </row>
    <row r="98" spans="1:6" x14ac:dyDescent="0.3">
      <c r="A98">
        <v>52.204720000000002</v>
      </c>
      <c r="B98">
        <v>0.14055999999999999</v>
      </c>
      <c r="C98">
        <v>15</v>
      </c>
      <c r="D98">
        <v>96</v>
      </c>
      <c r="E98">
        <v>52.190432993201867</v>
      </c>
      <c r="F98">
        <v>0.35915965809982742</v>
      </c>
    </row>
    <row r="99" spans="1:6" x14ac:dyDescent="0.3">
      <c r="A99">
        <v>52.204720000000002</v>
      </c>
      <c r="B99">
        <v>0.14055999999999999</v>
      </c>
      <c r="C99">
        <v>15</v>
      </c>
      <c r="D99">
        <v>97</v>
      </c>
      <c r="E99">
        <v>52.188097157480833</v>
      </c>
      <c r="F99">
        <v>0.35871391847069195</v>
      </c>
    </row>
    <row r="100" spans="1:6" x14ac:dyDescent="0.3">
      <c r="A100">
        <v>52.204720000000002</v>
      </c>
      <c r="B100">
        <v>0.14055999999999999</v>
      </c>
      <c r="C100">
        <v>15</v>
      </c>
      <c r="D100">
        <v>98</v>
      </c>
      <c r="E100">
        <v>52.185766444526308</v>
      </c>
      <c r="F100">
        <v>0.35820180249779382</v>
      </c>
    </row>
    <row r="101" spans="1:6" x14ac:dyDescent="0.3">
      <c r="A101">
        <v>52.204720000000002</v>
      </c>
      <c r="B101">
        <v>0.14055999999999999</v>
      </c>
      <c r="C101">
        <v>15</v>
      </c>
      <c r="D101">
        <v>99</v>
      </c>
      <c r="E101">
        <v>52.183441563430939</v>
      </c>
      <c r="F101">
        <v>0.35762347640859354</v>
      </c>
    </row>
    <row r="102" spans="1:6" x14ac:dyDescent="0.3">
      <c r="A102">
        <v>52.204720000000002</v>
      </c>
      <c r="B102">
        <v>0.14055999999999999</v>
      </c>
      <c r="C102">
        <v>15</v>
      </c>
      <c r="D102">
        <v>100</v>
      </c>
      <c r="E102">
        <v>52.181123221402146</v>
      </c>
      <c r="F102">
        <v>0.35697912649179059</v>
      </c>
    </row>
    <row r="103" spans="1:6" x14ac:dyDescent="0.3">
      <c r="A103">
        <v>52.204720000000002</v>
      </c>
      <c r="B103">
        <v>0.14055999999999999</v>
      </c>
      <c r="C103">
        <v>15</v>
      </c>
      <c r="D103">
        <v>101</v>
      </c>
      <c r="E103">
        <v>52.178812123547857</v>
      </c>
      <c r="F103">
        <v>0.3562689590283093</v>
      </c>
    </row>
    <row r="104" spans="1:6" x14ac:dyDescent="0.3">
      <c r="A104">
        <v>52.204720000000002</v>
      </c>
      <c r="B104">
        <v>0.14055999999999999</v>
      </c>
      <c r="C104">
        <v>15</v>
      </c>
      <c r="D104">
        <v>102</v>
      </c>
      <c r="E104">
        <v>52.176508972663171</v>
      </c>
      <c r="F104">
        <v>0.35549320021634706</v>
      </c>
    </row>
    <row r="105" spans="1:6" x14ac:dyDescent="0.3">
      <c r="A105">
        <v>52.204720000000002</v>
      </c>
      <c r="B105">
        <v>0.14055999999999999</v>
      </c>
      <c r="C105">
        <v>15</v>
      </c>
      <c r="D105">
        <v>103</v>
      </c>
      <c r="E105">
        <v>52.174214469017663</v>
      </c>
      <c r="F105">
        <v>0.35465209609052195</v>
      </c>
    </row>
    <row r="106" spans="1:6" x14ac:dyDescent="0.3">
      <c r="A106">
        <v>52.204720000000002</v>
      </c>
      <c r="B106">
        <v>0.14055999999999999</v>
      </c>
      <c r="C106">
        <v>15</v>
      </c>
      <c r="D106">
        <v>104</v>
      </c>
      <c r="E106">
        <v>52.171929310143746</v>
      </c>
      <c r="F106">
        <v>0.35374591243515974</v>
      </c>
    </row>
    <row r="107" spans="1:6" x14ac:dyDescent="0.3">
      <c r="A107">
        <v>52.204720000000002</v>
      </c>
      <c r="B107">
        <v>0.14055999999999999</v>
      </c>
      <c r="C107">
        <v>15</v>
      </c>
      <c r="D107">
        <v>105</v>
      </c>
      <c r="E107">
        <v>52.169654190625891</v>
      </c>
      <c r="F107">
        <v>0.35277493469175986</v>
      </c>
    </row>
    <row r="108" spans="1:6" x14ac:dyDescent="0.3">
      <c r="A108">
        <v>52.204720000000002</v>
      </c>
      <c r="B108">
        <v>0.14055999999999999</v>
      </c>
      <c r="C108">
        <v>15</v>
      </c>
      <c r="D108">
        <v>106</v>
      </c>
      <c r="E108">
        <v>52.167389801890906</v>
      </c>
      <c r="F108">
        <v>0.35173946786068194</v>
      </c>
    </row>
    <row r="109" spans="1:6" x14ac:dyDescent="0.3">
      <c r="A109">
        <v>52.204720000000002</v>
      </c>
      <c r="B109">
        <v>0.14055999999999999</v>
      </c>
      <c r="C109">
        <v>15</v>
      </c>
      <c r="D109">
        <v>107</v>
      </c>
      <c r="E109">
        <v>52.165136831999305</v>
      </c>
      <c r="F109">
        <v>0.35063983639709895</v>
      </c>
    </row>
    <row r="110" spans="1:6" x14ac:dyDescent="0.3">
      <c r="A110">
        <v>52.204720000000002</v>
      </c>
      <c r="B110">
        <v>0.14055999999999999</v>
      </c>
      <c r="C110">
        <v>15</v>
      </c>
      <c r="D110">
        <v>108</v>
      </c>
      <c r="E110">
        <v>52.162895965437762</v>
      </c>
      <c r="F110">
        <v>0.34947638410125803</v>
      </c>
    </row>
    <row r="111" spans="1:6" x14ac:dyDescent="0.3">
      <c r="A111">
        <v>52.204720000000002</v>
      </c>
      <c r="B111">
        <v>0.14055999999999999</v>
      </c>
      <c r="C111">
        <v>15</v>
      </c>
      <c r="D111">
        <v>109</v>
      </c>
      <c r="E111">
        <v>52.160667882912911</v>
      </c>
      <c r="F111">
        <v>0.34824947400309958</v>
      </c>
    </row>
    <row r="112" spans="1:6" x14ac:dyDescent="0.3">
      <c r="A112">
        <v>52.204720000000002</v>
      </c>
      <c r="B112">
        <v>0.14055999999999999</v>
      </c>
      <c r="C112">
        <v>15</v>
      </c>
      <c r="D112">
        <v>110</v>
      </c>
      <c r="E112">
        <v>52.158453261146185</v>
      </c>
      <c r="F112">
        <v>0.3469594882412787</v>
      </c>
    </row>
    <row r="113" spans="1:6" x14ac:dyDescent="0.3">
      <c r="A113">
        <v>52.204720000000002</v>
      </c>
      <c r="B113">
        <v>0.14055999999999999</v>
      </c>
      <c r="C113">
        <v>15</v>
      </c>
      <c r="D113">
        <v>111</v>
      </c>
      <c r="E113">
        <v>52.156252772670214</v>
      </c>
      <c r="F113">
        <v>0.34560682793664055</v>
      </c>
    </row>
    <row r="114" spans="1:6" x14ac:dyDescent="0.3">
      <c r="A114">
        <v>52.204720000000002</v>
      </c>
      <c r="B114">
        <v>0.14055999999999999</v>
      </c>
      <c r="C114">
        <v>15</v>
      </c>
      <c r="D114">
        <v>112</v>
      </c>
      <c r="E114">
        <v>52.15406708562643</v>
      </c>
      <c r="F114">
        <v>0.34419191306019992</v>
      </c>
    </row>
    <row r="115" spans="1:6" x14ac:dyDescent="0.3">
      <c r="A115">
        <v>52.204720000000002</v>
      </c>
      <c r="B115">
        <v>0.14055999999999999</v>
      </c>
      <c r="C115">
        <v>15</v>
      </c>
      <c r="D115">
        <v>113</v>
      </c>
      <c r="E115">
        <v>52.151896863564197</v>
      </c>
      <c r="F115">
        <v>0.34271518229567538</v>
      </c>
    </row>
    <row r="116" spans="1:6" x14ac:dyDescent="0.3">
      <c r="A116">
        <v>52.204720000000002</v>
      </c>
      <c r="B116">
        <v>0.14055999999999999</v>
      </c>
      <c r="C116">
        <v>15</v>
      </c>
      <c r="D116">
        <v>114</v>
      </c>
      <c r="E116">
        <v>52.149742765241449</v>
      </c>
      <c r="F116">
        <v>0.34117709289663295</v>
      </c>
    </row>
    <row r="117" spans="1:6" x14ac:dyDescent="0.3">
      <c r="A117">
        <v>52.204720000000002</v>
      </c>
      <c r="B117">
        <v>0.14055999999999999</v>
      </c>
      <c r="C117">
        <v>15</v>
      </c>
      <c r="D117">
        <v>115</v>
      </c>
      <c r="E117">
        <v>52.147605444426794</v>
      </c>
      <c r="F117">
        <v>0.33957812053829245</v>
      </c>
    </row>
    <row r="118" spans="1:6" x14ac:dyDescent="0.3">
      <c r="A118">
        <v>52.204720000000002</v>
      </c>
      <c r="B118">
        <v>0.14055999999999999</v>
      </c>
      <c r="C118">
        <v>15</v>
      </c>
      <c r="D118">
        <v>116</v>
      </c>
      <c r="E118">
        <v>52.145485549703388</v>
      </c>
      <c r="F118">
        <v>0.33791875916405273</v>
      </c>
    </row>
    <row r="119" spans="1:6" x14ac:dyDescent="0.3">
      <c r="A119">
        <v>52.204720000000002</v>
      </c>
      <c r="B119">
        <v>0.14055999999999999</v>
      </c>
      <c r="C119">
        <v>15</v>
      </c>
      <c r="D119">
        <v>117</v>
      </c>
      <c r="E119">
        <v>52.143383724274273</v>
      </c>
      <c r="F119">
        <v>0.33619952082679261</v>
      </c>
    </row>
    <row r="120" spans="1:6" x14ac:dyDescent="0.3">
      <c r="A120">
        <v>52.204720000000002</v>
      </c>
      <c r="B120">
        <v>0.14055999999999999</v>
      </c>
      <c r="C120">
        <v>15</v>
      </c>
      <c r="D120">
        <v>118</v>
      </c>
      <c r="E120">
        <v>52.141300605769644</v>
      </c>
      <c r="F120">
        <v>0.33442093552500457</v>
      </c>
    </row>
    <row r="121" spans="1:6" x14ac:dyDescent="0.3">
      <c r="A121">
        <v>52.204720000000002</v>
      </c>
      <c r="B121">
        <v>0.14055999999999999</v>
      </c>
      <c r="C121">
        <v>15</v>
      </c>
      <c r="D121">
        <v>119</v>
      </c>
      <c r="E121">
        <v>52.139236826055765</v>
      </c>
      <c r="F121">
        <v>0.3325835510338222</v>
      </c>
    </row>
    <row r="122" spans="1:6" x14ac:dyDescent="0.3">
      <c r="A122">
        <v>52.204720000000002</v>
      </c>
      <c r="B122">
        <v>0.14055999999999999</v>
      </c>
      <c r="C122">
        <v>15</v>
      </c>
      <c r="D122">
        <v>120</v>
      </c>
      <c r="E122">
        <v>52.137193011045717</v>
      </c>
      <c r="F122">
        <v>0.33068793273099983</v>
      </c>
    </row>
    <row r="123" spans="1:6" x14ac:dyDescent="0.3">
      <c r="A123">
        <v>52.204720000000002</v>
      </c>
      <c r="B123">
        <v>0.14055999999999999</v>
      </c>
      <c r="C123">
        <v>15</v>
      </c>
      <c r="D123">
        <v>121</v>
      </c>
      <c r="E123">
        <v>52.135169780512172</v>
      </c>
      <c r="F123">
        <v>0.32873466341790653</v>
      </c>
    </row>
    <row r="124" spans="1:6" x14ac:dyDescent="0.3">
      <c r="A124">
        <v>52.204720000000002</v>
      </c>
      <c r="B124">
        <v>0.14055999999999999</v>
      </c>
      <c r="C124">
        <v>15</v>
      </c>
      <c r="D124">
        <v>122</v>
      </c>
      <c r="E124">
        <v>52.133167747901901</v>
      </c>
      <c r="F124">
        <v>0.32672434313559667</v>
      </c>
    </row>
    <row r="125" spans="1:6" x14ac:dyDescent="0.3">
      <c r="A125">
        <v>52.204720000000002</v>
      </c>
      <c r="B125">
        <v>0.14055999999999999</v>
      </c>
      <c r="C125">
        <v>15</v>
      </c>
      <c r="D125">
        <v>123</v>
      </c>
      <c r="E125">
        <v>52.13118752015243</v>
      </c>
      <c r="F125">
        <v>0.32465758897602032</v>
      </c>
    </row>
    <row r="126" spans="1:6" x14ac:dyDescent="0.3">
      <c r="A126">
        <v>52.204720000000002</v>
      </c>
      <c r="B126">
        <v>0.14055999999999999</v>
      </c>
      <c r="C126">
        <v>15</v>
      </c>
      <c r="D126">
        <v>124</v>
      </c>
      <c r="E126">
        <v>52.129229697510716</v>
      </c>
      <c r="F126">
        <v>0.32253503488843893</v>
      </c>
    </row>
    <row r="127" spans="1:6" x14ac:dyDescent="0.3">
      <c r="A127">
        <v>52.204720000000002</v>
      </c>
      <c r="B127">
        <v>0.14055999999999999</v>
      </c>
      <c r="C127">
        <v>15</v>
      </c>
      <c r="D127">
        <v>125</v>
      </c>
      <c r="E127">
        <v>52.127294873353847</v>
      </c>
      <c r="F127">
        <v>0.32035733148110979</v>
      </c>
    </row>
    <row r="128" spans="1:6" x14ac:dyDescent="0.3">
      <c r="A128">
        <v>52.204720000000002</v>
      </c>
      <c r="B128">
        <v>0.14055999999999999</v>
      </c>
      <c r="C128">
        <v>15</v>
      </c>
      <c r="D128">
        <v>126</v>
      </c>
      <c r="E128">
        <v>52.125383634011982</v>
      </c>
      <c r="F128">
        <v>0.31812514581830731</v>
      </c>
    </row>
    <row r="129" spans="1:6" x14ac:dyDescent="0.3">
      <c r="A129">
        <v>52.204720000000002</v>
      </c>
      <c r="B129">
        <v>0.14055999999999999</v>
      </c>
      <c r="C129">
        <v>15</v>
      </c>
      <c r="D129">
        <v>127</v>
      </c>
      <c r="E129">
        <v>52.123496558593374</v>
      </c>
      <c r="F129">
        <v>0.31583916121274769</v>
      </c>
    </row>
    <row r="130" spans="1:6" x14ac:dyDescent="0.3">
      <c r="A130">
        <v>52.204720000000002</v>
      </c>
      <c r="B130">
        <v>0.14055999999999999</v>
      </c>
      <c r="C130">
        <v>15</v>
      </c>
      <c r="D130">
        <v>128</v>
      </c>
      <c r="E130">
        <v>52.121634218811778</v>
      </c>
      <c r="F130">
        <v>0.31350007701348503</v>
      </c>
    </row>
    <row r="131" spans="1:6" x14ac:dyDescent="0.3">
      <c r="A131">
        <v>52.204720000000002</v>
      </c>
      <c r="B131">
        <v>0.14055999999999999</v>
      </c>
      <c r="C131">
        <v>15</v>
      </c>
      <c r="D131">
        <v>129</v>
      </c>
      <c r="E131">
        <v>52.119797178816036</v>
      </c>
      <c r="F131">
        <v>0.31110860838934878</v>
      </c>
    </row>
    <row r="132" spans="1:6" x14ac:dyDescent="0.3">
      <c r="A132">
        <v>52.204720000000002</v>
      </c>
      <c r="B132">
        <v>0.14055999999999999</v>
      </c>
      <c r="C132">
        <v>15</v>
      </c>
      <c r="D132">
        <v>130</v>
      </c>
      <c r="E132">
        <v>52.117985995022003</v>
      </c>
      <c r="F132">
        <v>0.30866548610799049</v>
      </c>
    </row>
    <row r="133" spans="1:6" x14ac:dyDescent="0.3">
      <c r="A133">
        <v>52.204720000000002</v>
      </c>
      <c r="B133">
        <v>0.14055999999999999</v>
      </c>
      <c r="C133">
        <v>15</v>
      </c>
      <c r="D133">
        <v>131</v>
      </c>
      <c r="E133">
        <v>52.116201215947001</v>
      </c>
      <c r="F133">
        <v>0.30617145631061377</v>
      </c>
    </row>
    <row r="134" spans="1:6" x14ac:dyDescent="0.3">
      <c r="A134">
        <v>52.204720000000002</v>
      </c>
      <c r="B134">
        <v>0.14055999999999999</v>
      </c>
      <c r="C134">
        <v>15</v>
      </c>
      <c r="D134">
        <v>132</v>
      </c>
      <c r="E134">
        <v>52.114443382046517</v>
      </c>
      <c r="F134">
        <v>0.30362728028245495</v>
      </c>
    </row>
    <row r="135" spans="1:6" x14ac:dyDescent="0.3">
      <c r="A135">
        <v>52.204720000000002</v>
      </c>
      <c r="B135">
        <v>0.14055999999999999</v>
      </c>
      <c r="C135">
        <v>15</v>
      </c>
      <c r="D135">
        <v>133</v>
      </c>
      <c r="E135">
        <v>52.112713025553454</v>
      </c>
      <c r="F135">
        <v>0.30103373421909069</v>
      </c>
    </row>
    <row r="136" spans="1:6" x14ac:dyDescent="0.3">
      <c r="A136">
        <v>52.204720000000002</v>
      </c>
      <c r="B136">
        <v>0.14055999999999999</v>
      </c>
      <c r="C136">
        <v>15</v>
      </c>
      <c r="D136">
        <v>134</v>
      </c>
      <c r="E136">
        <v>52.111010670319956</v>
      </c>
      <c r="F136">
        <v>0.29839160898864248</v>
      </c>
    </row>
    <row r="137" spans="1:6" x14ac:dyDescent="0.3">
      <c r="A137">
        <v>52.204720000000002</v>
      </c>
      <c r="B137">
        <v>0.14055999999999999</v>
      </c>
      <c r="C137">
        <v>15</v>
      </c>
      <c r="D137">
        <v>135</v>
      </c>
      <c r="E137">
        <v>52.109336831661757</v>
      </c>
      <c r="F137">
        <v>0.29570170988995376</v>
      </c>
    </row>
    <row r="138" spans="1:6" x14ac:dyDescent="0.3">
      <c r="A138">
        <v>52.204720000000002</v>
      </c>
      <c r="B138">
        <v>0.14055999999999999</v>
      </c>
      <c r="C138">
        <v>15</v>
      </c>
      <c r="D138">
        <v>136</v>
      </c>
      <c r="E138">
        <v>52.107692016205078</v>
      </c>
      <c r="F138">
        <v>0.29296485640681302</v>
      </c>
    </row>
    <row r="139" spans="1:6" x14ac:dyDescent="0.3">
      <c r="A139">
        <v>52.204720000000002</v>
      </c>
      <c r="B139">
        <v>0.14055999999999999</v>
      </c>
      <c r="C139">
        <v>15</v>
      </c>
      <c r="D139">
        <v>137</v>
      </c>
      <c r="E139">
        <v>52.106076721736287</v>
      </c>
      <c r="F139">
        <v>0.29018188195829875</v>
      </c>
    </row>
    <row r="140" spans="1:6" x14ac:dyDescent="0.3">
      <c r="A140">
        <v>52.204720000000002</v>
      </c>
      <c r="B140">
        <v>0.14055999999999999</v>
      </c>
      <c r="C140">
        <v>15</v>
      </c>
      <c r="D140">
        <v>138</v>
      </c>
      <c r="E140">
        <v>52.104491437054143</v>
      </c>
      <c r="F140">
        <v>0.28735363364532124</v>
      </c>
    </row>
    <row r="141" spans="1:6" x14ac:dyDescent="0.3">
      <c r="A141">
        <v>52.204720000000002</v>
      </c>
      <c r="B141">
        <v>0.14055999999999999</v>
      </c>
      <c r="C141">
        <v>15</v>
      </c>
      <c r="D141">
        <v>139</v>
      </c>
      <c r="E141">
        <v>52.102936641824861</v>
      </c>
      <c r="F141">
        <v>0.28448097199343858</v>
      </c>
    </row>
    <row r="142" spans="1:6" x14ac:dyDescent="0.3">
      <c r="A142">
        <v>52.204720000000002</v>
      </c>
      <c r="B142">
        <v>0.14055999999999999</v>
      </c>
      <c r="C142">
        <v>15</v>
      </c>
      <c r="D142">
        <v>140</v>
      </c>
      <c r="E142">
        <v>52.101412806439853</v>
      </c>
      <c r="F142">
        <v>0.28156477069202335</v>
      </c>
    </row>
    <row r="143" spans="1:6" x14ac:dyDescent="0.3">
      <c r="A143">
        <v>52.204720000000002</v>
      </c>
      <c r="B143">
        <v>0.14055999999999999</v>
      </c>
      <c r="C143">
        <v>15</v>
      </c>
      <c r="D143">
        <v>141</v>
      </c>
      <c r="E143">
        <v>52.099920391876388</v>
      </c>
      <c r="F143">
        <v>0.2786059163298571</v>
      </c>
    </row>
    <row r="144" spans="1:6" x14ac:dyDescent="0.3">
      <c r="A144">
        <v>52.204720000000002</v>
      </c>
      <c r="B144">
        <v>0.14055999999999999</v>
      </c>
      <c r="C144">
        <v>15</v>
      </c>
      <c r="D144">
        <v>142</v>
      </c>
      <c r="E144">
        <v>52.098459849561003</v>
      </c>
      <c r="F144">
        <v>0.27560530812723294</v>
      </c>
    </row>
    <row r="145" spans="1:6" x14ac:dyDescent="0.3">
      <c r="A145">
        <v>52.204720000000002</v>
      </c>
      <c r="B145">
        <v>0.14055999999999999</v>
      </c>
      <c r="C145">
        <v>15</v>
      </c>
      <c r="D145">
        <v>143</v>
      </c>
      <c r="E145">
        <v>52.0970316212358</v>
      </c>
      <c r="F145">
        <v>0.27256385766464158</v>
      </c>
    </row>
    <row r="146" spans="1:6" x14ac:dyDescent="0.3">
      <c r="A146">
        <v>52.204720000000002</v>
      </c>
      <c r="B146">
        <v>0.14055999999999999</v>
      </c>
      <c r="C146">
        <v>15</v>
      </c>
      <c r="D146">
        <v>144</v>
      </c>
      <c r="E146">
        <v>52.095636138827786</v>
      </c>
      <c r="F146">
        <v>0.26948248860812413</v>
      </c>
    </row>
    <row r="147" spans="1:6" x14ac:dyDescent="0.3">
      <c r="A147">
        <v>52.204720000000002</v>
      </c>
      <c r="B147">
        <v>0.14055999999999999</v>
      </c>
      <c r="C147">
        <v>15</v>
      </c>
      <c r="D147">
        <v>145</v>
      </c>
      <c r="E147">
        <v>52.094273824321</v>
      </c>
      <c r="F147">
        <v>0.26636213643136714</v>
      </c>
    </row>
    <row r="148" spans="1:6" x14ac:dyDescent="0.3">
      <c r="A148">
        <v>52.204720000000002</v>
      </c>
      <c r="B148">
        <v>0.14055999999999999</v>
      </c>
      <c r="C148">
        <v>15</v>
      </c>
      <c r="D148">
        <v>146</v>
      </c>
      <c r="E148">
        <v>52.092945089631769</v>
      </c>
      <c r="F148">
        <v>0.26320374813462488</v>
      </c>
    </row>
    <row r="149" spans="1:6" x14ac:dyDescent="0.3">
      <c r="A149">
        <v>52.204720000000002</v>
      </c>
      <c r="B149">
        <v>0.14055999999999999</v>
      </c>
      <c r="C149">
        <v>15</v>
      </c>
      <c r="D149">
        <v>147</v>
      </c>
      <c r="E149">
        <v>52.091650336486822</v>
      </c>
      <c r="F149">
        <v>0.26000828196054532</v>
      </c>
    </row>
    <row r="150" spans="1:6" x14ac:dyDescent="0.3">
      <c r="A150">
        <v>52.204720000000002</v>
      </c>
      <c r="B150">
        <v>0.14055999999999999</v>
      </c>
      <c r="C150">
        <v>15</v>
      </c>
      <c r="D150">
        <v>148</v>
      </c>
      <c r="E150">
        <v>52.090389956304712</v>
      </c>
      <c r="F150">
        <v>0.25677670710698342</v>
      </c>
    </row>
    <row r="151" spans="1:6" x14ac:dyDescent="0.3">
      <c r="A151">
        <v>52.204720000000002</v>
      </c>
      <c r="B151">
        <v>0.14055999999999999</v>
      </c>
      <c r="C151">
        <v>15</v>
      </c>
      <c r="D151">
        <v>149</v>
      </c>
      <c r="E151">
        <v>52.089164330080052</v>
      </c>
      <c r="F151">
        <v>0.25351000343688346</v>
      </c>
    </row>
    <row r="152" spans="1:6" x14ac:dyDescent="0.3">
      <c r="A152">
        <v>52.204720000000002</v>
      </c>
      <c r="B152">
        <v>0.14055999999999999</v>
      </c>
      <c r="C152">
        <v>15</v>
      </c>
      <c r="D152">
        <v>150</v>
      </c>
      <c r="E152">
        <v>52.087973828271053</v>
      </c>
      <c r="F152">
        <v>0.25020916118531072</v>
      </c>
    </row>
    <row r="153" spans="1:6" x14ac:dyDescent="0.3">
      <c r="A153">
        <v>52.204720000000002</v>
      </c>
      <c r="B153">
        <v>0.14055999999999999</v>
      </c>
      <c r="C153">
        <v>15</v>
      </c>
      <c r="D153">
        <v>151</v>
      </c>
      <c r="E153">
        <v>52.08681881069014</v>
      </c>
      <c r="F153">
        <v>0.24687518066371791</v>
      </c>
    </row>
    <row r="154" spans="1:6" x14ac:dyDescent="0.3">
      <c r="A154">
        <v>52.204720000000002</v>
      </c>
      <c r="B154">
        <v>0.14055999999999999</v>
      </c>
      <c r="C154">
        <v>15</v>
      </c>
      <c r="D154">
        <v>152</v>
      </c>
      <c r="E154">
        <v>52.085699626397748</v>
      </c>
      <c r="F154">
        <v>0.24350907196152516</v>
      </c>
    </row>
    <row r="155" spans="1:6" x14ac:dyDescent="0.3">
      <c r="A155">
        <v>52.204720000000002</v>
      </c>
      <c r="B155">
        <v>0.14055999999999999</v>
      </c>
      <c r="C155">
        <v>15</v>
      </c>
      <c r="D155">
        <v>153</v>
      </c>
      <c r="E155">
        <v>52.08461661359933</v>
      </c>
      <c r="F155">
        <v>0.2401118546451016</v>
      </c>
    </row>
    <row r="156" spans="1:6" x14ac:dyDescent="0.3">
      <c r="A156">
        <v>52.204720000000002</v>
      </c>
      <c r="B156">
        <v>0.14055999999999999</v>
      </c>
      <c r="C156">
        <v>15</v>
      </c>
      <c r="D156">
        <v>154</v>
      </c>
      <c r="E156">
        <v>52.083570099545653</v>
      </c>
      <c r="F156">
        <v>0.23668455745422751</v>
      </c>
    </row>
    <row r="157" spans="1:6" x14ac:dyDescent="0.3">
      <c r="A157">
        <v>52.204720000000002</v>
      </c>
      <c r="B157">
        <v>0.14055999999999999</v>
      </c>
      <c r="C157">
        <v>15</v>
      </c>
      <c r="D157">
        <v>155</v>
      </c>
      <c r="E157">
        <v>52.082560400436208</v>
      </c>
      <c r="F157">
        <v>0.2332282179961247</v>
      </c>
    </row>
    <row r="158" spans="1:6" x14ac:dyDescent="0.3">
      <c r="A158">
        <v>52.204720000000002</v>
      </c>
      <c r="B158">
        <v>0.14055999999999999</v>
      </c>
      <c r="C158">
        <v>15</v>
      </c>
      <c r="D158">
        <v>156</v>
      </c>
      <c r="E158">
        <v>52.081587821326075</v>
      </c>
      <c r="F158">
        <v>0.22974388243713698</v>
      </c>
    </row>
    <row r="159" spans="1:6" x14ac:dyDescent="0.3">
      <c r="A159">
        <v>52.204720000000002</v>
      </c>
      <c r="B159">
        <v>0.14055999999999999</v>
      </c>
      <c r="C159">
        <v>15</v>
      </c>
      <c r="D159">
        <v>157</v>
      </c>
      <c r="E159">
        <v>52.080652656036015</v>
      </c>
      <c r="F159">
        <v>0.226232605192146</v>
      </c>
    </row>
    <row r="160" spans="1:6" x14ac:dyDescent="0.3">
      <c r="A160">
        <v>52.204720000000002</v>
      </c>
      <c r="B160">
        <v>0.14055999999999999</v>
      </c>
      <c r="C160">
        <v>15</v>
      </c>
      <c r="D160">
        <v>158</v>
      </c>
      <c r="E160">
        <v>52.079755187065857</v>
      </c>
      <c r="F160">
        <v>0.22269544861180804</v>
      </c>
    </row>
    <row r="161" spans="1:6" x14ac:dyDescent="0.3">
      <c r="A161">
        <v>52.204720000000002</v>
      </c>
      <c r="B161">
        <v>0.14055999999999999</v>
      </c>
      <c r="C161">
        <v>15</v>
      </c>
      <c r="D161">
        <v>159</v>
      </c>
      <c r="E161">
        <v>52.078895685511334</v>
      </c>
      <c r="F161">
        <v>0.21913348266769522</v>
      </c>
    </row>
    <row r="162" spans="1:6" x14ac:dyDescent="0.3">
      <c r="A162">
        <v>52.204720000000002</v>
      </c>
      <c r="B162">
        <v>0.14055999999999999</v>
      </c>
      <c r="C162">
        <v>15</v>
      </c>
      <c r="D162">
        <v>160</v>
      </c>
      <c r="E162">
        <v>52.078074410984229</v>
      </c>
      <c r="F162">
        <v>0.21554778463542892</v>
      </c>
    </row>
    <row r="163" spans="1:6" x14ac:dyDescent="0.3">
      <c r="A163">
        <v>52.204720000000002</v>
      </c>
      <c r="B163">
        <v>0.14055999999999999</v>
      </c>
      <c r="C163">
        <v>15</v>
      </c>
      <c r="D163">
        <v>161</v>
      </c>
      <c r="E163">
        <v>52.077291611535969</v>
      </c>
      <c r="F163">
        <v>0.21193943877588794</v>
      </c>
    </row>
    <row r="164" spans="1:6" x14ac:dyDescent="0.3">
      <c r="A164">
        <v>52.204720000000002</v>
      </c>
      <c r="B164">
        <v>0.14055999999999999</v>
      </c>
      <c r="C164">
        <v>15</v>
      </c>
      <c r="D164">
        <v>162</v>
      </c>
      <c r="E164">
        <v>52.07654752358458</v>
      </c>
      <c r="F164">
        <v>0.20830953601458094</v>
      </c>
    </row>
    <row r="165" spans="1:6" x14ac:dyDescent="0.3">
      <c r="A165">
        <v>52.204720000000002</v>
      </c>
      <c r="B165">
        <v>0.14055999999999999</v>
      </c>
      <c r="C165">
        <v>15</v>
      </c>
      <c r="D165">
        <v>163</v>
      </c>
      <c r="E165">
        <v>52.075842371845127</v>
      </c>
      <c r="F165">
        <v>0.20465917361926544</v>
      </c>
    </row>
    <row r="166" spans="1:6" x14ac:dyDescent="0.3">
      <c r="A166">
        <v>52.204720000000002</v>
      </c>
      <c r="B166">
        <v>0.14055999999999999</v>
      </c>
      <c r="C166">
        <v>15</v>
      </c>
      <c r="D166">
        <v>164</v>
      </c>
      <c r="E166">
        <v>52.075176369263623</v>
      </c>
      <c r="F166">
        <v>0.20098945487590297</v>
      </c>
    </row>
    <row r="167" spans="1:6" x14ac:dyDescent="0.3">
      <c r="A167">
        <v>52.204720000000002</v>
      </c>
      <c r="B167">
        <v>0.14055999999999999</v>
      </c>
      <c r="C167">
        <v>15</v>
      </c>
      <c r="D167">
        <v>165</v>
      </c>
      <c r="E167">
        <v>52.074549716954344</v>
      </c>
      <c r="F167">
        <v>0.19730148876303519</v>
      </c>
    </row>
    <row r="168" spans="1:6" x14ac:dyDescent="0.3">
      <c r="A168">
        <v>52.204720000000002</v>
      </c>
      <c r="B168">
        <v>0.14055999999999999</v>
      </c>
      <c r="C168">
        <v>15</v>
      </c>
      <c r="D168">
        <v>166</v>
      </c>
      <c r="E168">
        <v>52.073962604140718</v>
      </c>
      <c r="F168">
        <v>0.19359638962466721</v>
      </c>
    </row>
    <row r="169" spans="1:6" x14ac:dyDescent="0.3">
      <c r="A169">
        <v>52.204720000000002</v>
      </c>
      <c r="B169">
        <v>0.14055999999999999</v>
      </c>
      <c r="C169">
        <v>15</v>
      </c>
      <c r="D169">
        <v>167</v>
      </c>
      <c r="E169">
        <v>52.073415208099703</v>
      </c>
      <c r="F169">
        <v>0.18987527684174743</v>
      </c>
    </row>
    <row r="170" spans="1:6" x14ac:dyDescent="0.3">
      <c r="A170">
        <v>52.204720000000002</v>
      </c>
      <c r="B170">
        <v>0.14055999999999999</v>
      </c>
      <c r="C170">
        <v>15</v>
      </c>
      <c r="D170">
        <v>168</v>
      </c>
      <c r="E170">
        <v>52.072907694109581</v>
      </c>
      <c r="F170">
        <v>0.18613927450232726</v>
      </c>
    </row>
    <row r="171" spans="1:6" x14ac:dyDescent="0.3">
      <c r="A171">
        <v>52.204720000000002</v>
      </c>
      <c r="B171">
        <v>0.14055999999999999</v>
      </c>
      <c r="C171">
        <v>15</v>
      </c>
      <c r="D171">
        <v>169</v>
      </c>
      <c r="E171">
        <v>52.072440215401471</v>
      </c>
      <c r="F171">
        <v>0.18238951107049192</v>
      </c>
    </row>
    <row r="172" spans="1:6" x14ac:dyDescent="0.3">
      <c r="A172">
        <v>52.204720000000002</v>
      </c>
      <c r="B172">
        <v>0.14055999999999999</v>
      </c>
      <c r="C172">
        <v>15</v>
      </c>
      <c r="D172">
        <v>170</v>
      </c>
      <c r="E172">
        <v>52.072012913114222</v>
      </c>
      <c r="F172">
        <v>0.17862711905414616</v>
      </c>
    </row>
    <row r="173" spans="1:6" x14ac:dyDescent="0.3">
      <c r="A173">
        <v>52.204720000000002</v>
      </c>
      <c r="B173">
        <v>0.14055999999999999</v>
      </c>
      <c r="C173">
        <v>15</v>
      </c>
      <c r="D173">
        <v>171</v>
      </c>
      <c r="E173">
        <v>52.07162591625297</v>
      </c>
      <c r="F173">
        <v>0.17485323467174535</v>
      </c>
    </row>
    <row r="174" spans="1:6" x14ac:dyDescent="0.3">
      <c r="A174">
        <v>52.204720000000002</v>
      </c>
      <c r="B174">
        <v>0.14055999999999999</v>
      </c>
      <c r="C174">
        <v>15</v>
      </c>
      <c r="D174">
        <v>172</v>
      </c>
      <c r="E174">
        <v>52.071279341651248</v>
      </c>
      <c r="F174">
        <v>0.17106899751805651</v>
      </c>
    </row>
    <row r="175" spans="1:6" x14ac:dyDescent="0.3">
      <c r="A175">
        <v>52.204720000000002</v>
      </c>
      <c r="B175">
        <v>0.14055999999999999</v>
      </c>
      <c r="C175">
        <v>15</v>
      </c>
      <c r="D175">
        <v>173</v>
      </c>
      <c r="E175">
        <v>52.070973293936589</v>
      </c>
      <c r="F175">
        <v>0.16727555022903995</v>
      </c>
    </row>
    <row r="176" spans="1:6" x14ac:dyDescent="0.3">
      <c r="A176">
        <v>52.204720000000002</v>
      </c>
      <c r="B176">
        <v>0.14055999999999999</v>
      </c>
      <c r="C176">
        <v>15</v>
      </c>
      <c r="D176">
        <v>174</v>
      </c>
      <c r="E176">
        <v>52.070707865499855</v>
      </c>
      <c r="F176">
        <v>0.1634740381459375</v>
      </c>
    </row>
    <row r="177" spans="1:6" x14ac:dyDescent="0.3">
      <c r="A177">
        <v>52.204720000000002</v>
      </c>
      <c r="B177">
        <v>0.14055999999999999</v>
      </c>
      <c r="C177">
        <v>15</v>
      </c>
      <c r="D177">
        <v>175</v>
      </c>
      <c r="E177">
        <v>52.070483136468098</v>
      </c>
      <c r="F177">
        <v>0.15966560897865503</v>
      </c>
    </row>
    <row r="178" spans="1:6" x14ac:dyDescent="0.3">
      <c r="A178">
        <v>52.204720000000002</v>
      </c>
      <c r="B178">
        <v>0.14055999999999999</v>
      </c>
      <c r="C178">
        <v>15</v>
      </c>
      <c r="D178">
        <v>176</v>
      </c>
      <c r="E178">
        <v>52.070299174680969</v>
      </c>
      <c r="F178">
        <v>0.15585141246852907</v>
      </c>
    </row>
    <row r="179" spans="1:6" x14ac:dyDescent="0.3">
      <c r="A179">
        <v>52.204720000000002</v>
      </c>
      <c r="B179">
        <v>0.14055999999999999</v>
      </c>
      <c r="C179">
        <v>15</v>
      </c>
      <c r="D179">
        <v>177</v>
      </c>
      <c r="E179">
        <v>52.070156035670827</v>
      </c>
      <c r="F179">
        <v>0.15203260005056302</v>
      </c>
    </row>
    <row r="180" spans="1:6" x14ac:dyDescent="0.3">
      <c r="A180">
        <v>52.204720000000002</v>
      </c>
      <c r="B180">
        <v>0.14055999999999999</v>
      </c>
      <c r="C180">
        <v>15</v>
      </c>
      <c r="D180">
        <v>178</v>
      </c>
      <c r="E180">
        <v>52.070053762646445</v>
      </c>
      <c r="F180">
        <v>0.14821032451522367</v>
      </c>
    </row>
    <row r="181" spans="1:6" x14ac:dyDescent="0.3">
      <c r="A181">
        <v>52.204720000000002</v>
      </c>
      <c r="B181">
        <v>0.14055999999999999</v>
      </c>
      <c r="C181">
        <v>15</v>
      </c>
      <c r="D181">
        <v>179</v>
      </c>
      <c r="E181">
        <v>52.069992386480301</v>
      </c>
      <c r="F181">
        <v>0.14438573966988355</v>
      </c>
    </row>
    <row r="182" spans="1:6" x14ac:dyDescent="0.3">
      <c r="A182">
        <v>52.204720000000002</v>
      </c>
      <c r="B182">
        <v>0.14055999999999999</v>
      </c>
      <c r="C182">
        <v>15</v>
      </c>
      <c r="D182">
        <v>180</v>
      </c>
      <c r="E182">
        <v>52.06997192569947</v>
      </c>
      <c r="F182">
        <v>0.14056000000000002</v>
      </c>
    </row>
    <row r="183" spans="1:6" x14ac:dyDescent="0.3">
      <c r="A183">
        <v>52.204720000000002</v>
      </c>
      <c r="B183">
        <v>0.14055999999999999</v>
      </c>
      <c r="C183">
        <v>15</v>
      </c>
      <c r="D183">
        <v>181</v>
      </c>
      <c r="E183">
        <v>52.069992386480301</v>
      </c>
      <c r="F183">
        <v>0.13673426033011649</v>
      </c>
    </row>
    <row r="184" spans="1:6" x14ac:dyDescent="0.3">
      <c r="A184">
        <v>52.204720000000002</v>
      </c>
      <c r="B184">
        <v>0.14055999999999999</v>
      </c>
      <c r="C184">
        <v>15</v>
      </c>
      <c r="D184">
        <v>182</v>
      </c>
      <c r="E184">
        <v>52.070053762646445</v>
      </c>
      <c r="F184">
        <v>0.13290967548477639</v>
      </c>
    </row>
    <row r="185" spans="1:6" x14ac:dyDescent="0.3">
      <c r="A185">
        <v>52.204720000000002</v>
      </c>
      <c r="B185">
        <v>0.14055999999999999</v>
      </c>
      <c r="C185">
        <v>15</v>
      </c>
      <c r="D185">
        <v>183</v>
      </c>
      <c r="E185">
        <v>52.070156035670827</v>
      </c>
      <c r="F185">
        <v>0.12908739994943702</v>
      </c>
    </row>
    <row r="186" spans="1:6" x14ac:dyDescent="0.3">
      <c r="A186">
        <v>52.204720000000002</v>
      </c>
      <c r="B186">
        <v>0.14055999999999999</v>
      </c>
      <c r="C186">
        <v>15</v>
      </c>
      <c r="D186">
        <v>184</v>
      </c>
      <c r="E186">
        <v>52.070299174680969</v>
      </c>
      <c r="F186">
        <v>0.12526858753147097</v>
      </c>
    </row>
    <row r="187" spans="1:6" x14ac:dyDescent="0.3">
      <c r="A187">
        <v>52.204720000000002</v>
      </c>
      <c r="B187">
        <v>0.14055999999999999</v>
      </c>
      <c r="C187">
        <v>15</v>
      </c>
      <c r="D187">
        <v>185</v>
      </c>
      <c r="E187">
        <v>52.070483136468098</v>
      </c>
      <c r="F187">
        <v>0.121454391021345</v>
      </c>
    </row>
    <row r="188" spans="1:6" x14ac:dyDescent="0.3">
      <c r="A188">
        <v>52.204720000000002</v>
      </c>
      <c r="B188">
        <v>0.14055999999999999</v>
      </c>
      <c r="C188">
        <v>15</v>
      </c>
      <c r="D188">
        <v>186</v>
      </c>
      <c r="E188">
        <v>52.070707865499855</v>
      </c>
      <c r="F188">
        <v>0.11764596185406254</v>
      </c>
    </row>
    <row r="189" spans="1:6" x14ac:dyDescent="0.3">
      <c r="A189">
        <v>52.204720000000002</v>
      </c>
      <c r="B189">
        <v>0.14055999999999999</v>
      </c>
      <c r="C189">
        <v>15</v>
      </c>
      <c r="D189">
        <v>187</v>
      </c>
      <c r="E189">
        <v>52.070973293936589</v>
      </c>
      <c r="F189">
        <v>0.11384444977096009</v>
      </c>
    </row>
    <row r="190" spans="1:6" x14ac:dyDescent="0.3">
      <c r="A190">
        <v>52.204720000000002</v>
      </c>
      <c r="B190">
        <v>0.14055999999999999</v>
      </c>
      <c r="C190">
        <v>15</v>
      </c>
      <c r="D190">
        <v>188</v>
      </c>
      <c r="E190">
        <v>52.071279341651248</v>
      </c>
      <c r="F190">
        <v>0.11005100248194351</v>
      </c>
    </row>
    <row r="191" spans="1:6" x14ac:dyDescent="0.3">
      <c r="A191">
        <v>52.204720000000002</v>
      </c>
      <c r="B191">
        <v>0.14055999999999999</v>
      </c>
      <c r="C191">
        <v>15</v>
      </c>
      <c r="D191">
        <v>189</v>
      </c>
      <c r="E191">
        <v>52.07162591625297</v>
      </c>
      <c r="F191">
        <v>0.10626676532825469</v>
      </c>
    </row>
    <row r="192" spans="1:6" x14ac:dyDescent="0.3">
      <c r="A192">
        <v>52.204720000000002</v>
      </c>
      <c r="B192">
        <v>0.14055999999999999</v>
      </c>
      <c r="C192">
        <v>15</v>
      </c>
      <c r="D192">
        <v>190</v>
      </c>
      <c r="E192">
        <v>52.072012913114222</v>
      </c>
      <c r="F192">
        <v>0.10249288094585388</v>
      </c>
    </row>
    <row r="193" spans="1:6" x14ac:dyDescent="0.3">
      <c r="A193">
        <v>52.204720000000002</v>
      </c>
      <c r="B193">
        <v>0.14055999999999999</v>
      </c>
      <c r="C193">
        <v>15</v>
      </c>
      <c r="D193">
        <v>191</v>
      </c>
      <c r="E193">
        <v>52.072440215401471</v>
      </c>
      <c r="F193">
        <v>9.8730488929508128E-2</v>
      </c>
    </row>
    <row r="194" spans="1:6" x14ac:dyDescent="0.3">
      <c r="A194">
        <v>52.204720000000002</v>
      </c>
      <c r="B194">
        <v>0.14055999999999999</v>
      </c>
      <c r="C194">
        <v>15</v>
      </c>
      <c r="D194">
        <v>192</v>
      </c>
      <c r="E194">
        <v>52.072907694109581</v>
      </c>
      <c r="F194">
        <v>9.498072549767278E-2</v>
      </c>
    </row>
    <row r="195" spans="1:6" x14ac:dyDescent="0.3">
      <c r="A195">
        <v>52.204720000000002</v>
      </c>
      <c r="B195">
        <v>0.14055999999999999</v>
      </c>
      <c r="C195">
        <v>15</v>
      </c>
      <c r="D195">
        <v>193</v>
      </c>
      <c r="E195">
        <v>52.073415208099703</v>
      </c>
      <c r="F195">
        <v>9.1244723158252591E-2</v>
      </c>
    </row>
    <row r="196" spans="1:6" x14ac:dyDescent="0.3">
      <c r="A196">
        <v>52.204720000000002</v>
      </c>
      <c r="B196">
        <v>0.14055999999999999</v>
      </c>
      <c r="C196">
        <v>15</v>
      </c>
      <c r="D196">
        <v>194</v>
      </c>
      <c r="E196">
        <v>52.073962604140718</v>
      </c>
      <c r="F196">
        <v>8.7523610375332822E-2</v>
      </c>
    </row>
    <row r="197" spans="1:6" x14ac:dyDescent="0.3">
      <c r="A197">
        <v>52.204720000000002</v>
      </c>
      <c r="B197">
        <v>0.14055999999999999</v>
      </c>
      <c r="C197">
        <v>15</v>
      </c>
      <c r="D197">
        <v>195</v>
      </c>
      <c r="E197">
        <v>52.074549716954344</v>
      </c>
      <c r="F197">
        <v>8.3818511236964863E-2</v>
      </c>
    </row>
    <row r="198" spans="1:6" x14ac:dyDescent="0.3">
      <c r="A198">
        <v>52.204720000000002</v>
      </c>
      <c r="B198">
        <v>0.14055999999999999</v>
      </c>
      <c r="C198">
        <v>15</v>
      </c>
      <c r="D198">
        <v>196</v>
      </c>
      <c r="E198">
        <v>52.075176369263623</v>
      </c>
      <c r="F198">
        <v>8.0130545124097091E-2</v>
      </c>
    </row>
    <row r="199" spans="1:6" x14ac:dyDescent="0.3">
      <c r="A199">
        <v>52.204720000000002</v>
      </c>
      <c r="B199">
        <v>0.14055999999999999</v>
      </c>
      <c r="C199">
        <v>15</v>
      </c>
      <c r="D199">
        <v>197</v>
      </c>
      <c r="E199">
        <v>52.075842371845127</v>
      </c>
      <c r="F199">
        <v>7.6460826380734606E-2</v>
      </c>
    </row>
    <row r="200" spans="1:6" x14ac:dyDescent="0.3">
      <c r="A200">
        <v>52.204720000000002</v>
      </c>
      <c r="B200">
        <v>0.14055999999999999</v>
      </c>
      <c r="C200">
        <v>15</v>
      </c>
      <c r="D200">
        <v>198</v>
      </c>
      <c r="E200">
        <v>52.07654752358458</v>
      </c>
      <c r="F200">
        <v>7.2810463985419099E-2</v>
      </c>
    </row>
    <row r="201" spans="1:6" x14ac:dyDescent="0.3">
      <c r="A201">
        <v>52.204720000000002</v>
      </c>
      <c r="B201">
        <v>0.14055999999999999</v>
      </c>
      <c r="C201">
        <v>15</v>
      </c>
      <c r="D201">
        <v>199</v>
      </c>
      <c r="E201">
        <v>52.077291611535969</v>
      </c>
      <c r="F201">
        <v>6.9180561224112064E-2</v>
      </c>
    </row>
    <row r="202" spans="1:6" x14ac:dyDescent="0.3">
      <c r="A202">
        <v>52.204720000000002</v>
      </c>
      <c r="B202">
        <v>0.14055999999999999</v>
      </c>
      <c r="C202">
        <v>15</v>
      </c>
      <c r="D202">
        <v>200</v>
      </c>
      <c r="E202">
        <v>52.078074410984229</v>
      </c>
      <c r="F202">
        <v>6.5572215364571099E-2</v>
      </c>
    </row>
    <row r="203" spans="1:6" x14ac:dyDescent="0.3">
      <c r="A203">
        <v>52.204720000000002</v>
      </c>
      <c r="B203">
        <v>0.14055999999999999</v>
      </c>
      <c r="C203">
        <v>15</v>
      </c>
      <c r="D203">
        <v>201</v>
      </c>
      <c r="E203">
        <v>52.078895685511334</v>
      </c>
      <c r="F203">
        <v>6.19865173323048E-2</v>
      </c>
    </row>
    <row r="204" spans="1:6" x14ac:dyDescent="0.3">
      <c r="A204">
        <v>52.204720000000002</v>
      </c>
      <c r="B204">
        <v>0.14055999999999999</v>
      </c>
      <c r="C204">
        <v>15</v>
      </c>
      <c r="D204">
        <v>202</v>
      </c>
      <c r="E204">
        <v>52.079755187065857</v>
      </c>
      <c r="F204">
        <v>5.8424551388191984E-2</v>
      </c>
    </row>
    <row r="205" spans="1:6" x14ac:dyDescent="0.3">
      <c r="A205">
        <v>52.204720000000002</v>
      </c>
      <c r="B205">
        <v>0.14055999999999999</v>
      </c>
      <c r="C205">
        <v>15</v>
      </c>
      <c r="D205">
        <v>203</v>
      </c>
      <c r="E205">
        <v>52.080652656036015</v>
      </c>
      <c r="F205">
        <v>5.4887394807854012E-2</v>
      </c>
    </row>
    <row r="206" spans="1:6" x14ac:dyDescent="0.3">
      <c r="A206">
        <v>52.204720000000002</v>
      </c>
      <c r="B206">
        <v>0.14055999999999999</v>
      </c>
      <c r="C206">
        <v>15</v>
      </c>
      <c r="D206">
        <v>204</v>
      </c>
      <c r="E206">
        <v>52.081587821326075</v>
      </c>
      <c r="F206">
        <v>5.1376117562863047E-2</v>
      </c>
    </row>
    <row r="207" spans="1:6" x14ac:dyDescent="0.3">
      <c r="A207">
        <v>52.204720000000002</v>
      </c>
      <c r="B207">
        <v>0.14055999999999999</v>
      </c>
      <c r="C207">
        <v>15</v>
      </c>
      <c r="D207">
        <v>205</v>
      </c>
      <c r="E207">
        <v>52.082560400436208</v>
      </c>
      <c r="F207">
        <v>4.7891782003875352E-2</v>
      </c>
    </row>
    <row r="208" spans="1:6" x14ac:dyDescent="0.3">
      <c r="A208">
        <v>52.204720000000002</v>
      </c>
      <c r="B208">
        <v>0.14055999999999999</v>
      </c>
      <c r="C208">
        <v>15</v>
      </c>
      <c r="D208">
        <v>206</v>
      </c>
      <c r="E208">
        <v>52.083570099545653</v>
      </c>
      <c r="F208">
        <v>4.443544254577253E-2</v>
      </c>
    </row>
    <row r="209" spans="1:6" x14ac:dyDescent="0.3">
      <c r="A209">
        <v>52.204720000000002</v>
      </c>
      <c r="B209">
        <v>0.14055999999999999</v>
      </c>
      <c r="C209">
        <v>15</v>
      </c>
      <c r="D209">
        <v>207</v>
      </c>
      <c r="E209">
        <v>52.08461661359933</v>
      </c>
      <c r="F209">
        <v>4.1008145354898468E-2</v>
      </c>
    </row>
    <row r="210" spans="1:6" x14ac:dyDescent="0.3">
      <c r="A210">
        <v>52.204720000000002</v>
      </c>
      <c r="B210">
        <v>0.14055999999999999</v>
      </c>
      <c r="C210">
        <v>15</v>
      </c>
      <c r="D210">
        <v>208</v>
      </c>
      <c r="E210">
        <v>52.085699626397748</v>
      </c>
      <c r="F210">
        <v>3.7610928038474857E-2</v>
      </c>
    </row>
    <row r="211" spans="1:6" x14ac:dyDescent="0.3">
      <c r="A211">
        <v>52.204720000000002</v>
      </c>
      <c r="B211">
        <v>0.14055999999999999</v>
      </c>
      <c r="C211">
        <v>15</v>
      </c>
      <c r="D211">
        <v>209</v>
      </c>
      <c r="E211">
        <v>52.08681881069014</v>
      </c>
      <c r="F211">
        <v>3.4244819336282095E-2</v>
      </c>
    </row>
    <row r="212" spans="1:6" x14ac:dyDescent="0.3">
      <c r="A212">
        <v>52.204720000000002</v>
      </c>
      <c r="B212">
        <v>0.14055999999999999</v>
      </c>
      <c r="C212">
        <v>15</v>
      </c>
      <c r="D212">
        <v>210</v>
      </c>
      <c r="E212">
        <v>52.087973828271053</v>
      </c>
      <c r="F212">
        <v>3.0910838814689267E-2</v>
      </c>
    </row>
    <row r="213" spans="1:6" x14ac:dyDescent="0.3">
      <c r="A213">
        <v>52.204720000000002</v>
      </c>
      <c r="B213">
        <v>0.14055999999999999</v>
      </c>
      <c r="C213">
        <v>15</v>
      </c>
      <c r="D213">
        <v>211</v>
      </c>
      <c r="E213">
        <v>52.089164330080052</v>
      </c>
      <c r="F213">
        <v>2.7609996563116593E-2</v>
      </c>
    </row>
    <row r="214" spans="1:6" x14ac:dyDescent="0.3">
      <c r="A214">
        <v>52.204720000000002</v>
      </c>
      <c r="B214">
        <v>0.14055999999999999</v>
      </c>
      <c r="C214">
        <v>15</v>
      </c>
      <c r="D214">
        <v>212</v>
      </c>
      <c r="E214">
        <v>52.090389956304712</v>
      </c>
      <c r="F214">
        <v>2.4343292893016583E-2</v>
      </c>
    </row>
    <row r="215" spans="1:6" x14ac:dyDescent="0.3">
      <c r="A215">
        <v>52.204720000000002</v>
      </c>
      <c r="B215">
        <v>0.14055999999999999</v>
      </c>
      <c r="C215">
        <v>15</v>
      </c>
      <c r="D215">
        <v>213</v>
      </c>
      <c r="E215">
        <v>52.091650336486822</v>
      </c>
      <c r="F215">
        <v>2.1111718039454705E-2</v>
      </c>
    </row>
    <row r="216" spans="1:6" x14ac:dyDescent="0.3">
      <c r="A216">
        <v>52.204720000000002</v>
      </c>
      <c r="B216">
        <v>0.14055999999999999</v>
      </c>
      <c r="C216">
        <v>15</v>
      </c>
      <c r="D216">
        <v>214</v>
      </c>
      <c r="E216">
        <v>52.092945089631769</v>
      </c>
      <c r="F216">
        <v>1.7916251865375141E-2</v>
      </c>
    </row>
    <row r="217" spans="1:6" x14ac:dyDescent="0.3">
      <c r="A217">
        <v>52.204720000000002</v>
      </c>
      <c r="B217">
        <v>0.14055999999999999</v>
      </c>
      <c r="C217">
        <v>15</v>
      </c>
      <c r="D217">
        <v>215</v>
      </c>
      <c r="E217">
        <v>52.094273824321</v>
      </c>
      <c r="F217">
        <v>1.4757863568632942E-2</v>
      </c>
    </row>
    <row r="218" spans="1:6" x14ac:dyDescent="0.3">
      <c r="A218">
        <v>52.204720000000002</v>
      </c>
      <c r="B218">
        <v>0.14055999999999999</v>
      </c>
      <c r="C218">
        <v>15</v>
      </c>
      <c r="D218">
        <v>216</v>
      </c>
      <c r="E218">
        <v>52.095636138827786</v>
      </c>
      <c r="F218">
        <v>1.1637511391875958E-2</v>
      </c>
    </row>
    <row r="219" spans="1:6" x14ac:dyDescent="0.3">
      <c r="A219">
        <v>52.204720000000002</v>
      </c>
      <c r="B219">
        <v>0.14055999999999999</v>
      </c>
      <c r="C219">
        <v>15</v>
      </c>
      <c r="D219">
        <v>217</v>
      </c>
      <c r="E219">
        <v>52.0970316212358</v>
      </c>
      <c r="F219">
        <v>8.556142335358433E-3</v>
      </c>
    </row>
    <row r="220" spans="1:6" x14ac:dyDescent="0.3">
      <c r="A220">
        <v>52.204720000000002</v>
      </c>
      <c r="B220">
        <v>0.14055999999999999</v>
      </c>
      <c r="C220">
        <v>15</v>
      </c>
      <c r="D220">
        <v>218</v>
      </c>
      <c r="E220">
        <v>52.098459849561003</v>
      </c>
      <c r="F220">
        <v>5.5146918727670725E-3</v>
      </c>
    </row>
    <row r="221" spans="1:6" x14ac:dyDescent="0.3">
      <c r="A221">
        <v>52.204720000000002</v>
      </c>
      <c r="B221">
        <v>0.14055999999999999</v>
      </c>
      <c r="C221">
        <v>15</v>
      </c>
      <c r="D221">
        <v>219</v>
      </c>
      <c r="E221">
        <v>52.099920391876388</v>
      </c>
      <c r="F221">
        <v>2.5140836701429284E-3</v>
      </c>
    </row>
    <row r="222" spans="1:6" x14ac:dyDescent="0.3">
      <c r="A222">
        <v>52.204720000000002</v>
      </c>
      <c r="B222">
        <v>0.14055999999999999</v>
      </c>
      <c r="C222">
        <v>15</v>
      </c>
      <c r="D222">
        <v>220</v>
      </c>
      <c r="E222">
        <v>52.101412806439853</v>
      </c>
      <c r="F222">
        <v>-4.4477069202329553E-4</v>
      </c>
    </row>
    <row r="223" spans="1:6" x14ac:dyDescent="0.3">
      <c r="A223">
        <v>52.204720000000002</v>
      </c>
      <c r="B223">
        <v>0.14055999999999999</v>
      </c>
      <c r="C223">
        <v>15</v>
      </c>
      <c r="D223">
        <v>221</v>
      </c>
      <c r="E223">
        <v>52.102936641824861</v>
      </c>
      <c r="F223">
        <v>-3.3609719934385761E-3</v>
      </c>
    </row>
    <row r="224" spans="1:6" x14ac:dyDescent="0.3">
      <c r="A224">
        <v>52.204720000000002</v>
      </c>
      <c r="B224">
        <v>0.14055999999999999</v>
      </c>
      <c r="C224">
        <v>15</v>
      </c>
      <c r="D224">
        <v>222</v>
      </c>
      <c r="E224">
        <v>52.104491437054143</v>
      </c>
      <c r="F224">
        <v>-6.2336336453211842E-3</v>
      </c>
    </row>
    <row r="225" spans="1:6" x14ac:dyDescent="0.3">
      <c r="A225">
        <v>52.204720000000002</v>
      </c>
      <c r="B225">
        <v>0.14055999999999999</v>
      </c>
      <c r="C225">
        <v>15</v>
      </c>
      <c r="D225">
        <v>223</v>
      </c>
      <c r="E225">
        <v>52.106076721736287</v>
      </c>
      <c r="F225">
        <v>-9.0618819582987051E-3</v>
      </c>
    </row>
    <row r="226" spans="1:6" x14ac:dyDescent="0.3">
      <c r="A226">
        <v>52.204720000000002</v>
      </c>
      <c r="B226">
        <v>0.14055999999999999</v>
      </c>
      <c r="C226">
        <v>15</v>
      </c>
      <c r="D226">
        <v>224</v>
      </c>
      <c r="E226">
        <v>52.107692016205078</v>
      </c>
      <c r="F226">
        <v>-1.184485640681302E-2</v>
      </c>
    </row>
    <row r="227" spans="1:6" x14ac:dyDescent="0.3">
      <c r="A227">
        <v>52.204720000000002</v>
      </c>
      <c r="B227">
        <v>0.14055999999999999</v>
      </c>
      <c r="C227">
        <v>15</v>
      </c>
      <c r="D227">
        <v>225</v>
      </c>
      <c r="E227">
        <v>52.109336831661757</v>
      </c>
      <c r="F227">
        <v>-1.4581709889953736E-2</v>
      </c>
    </row>
    <row r="228" spans="1:6" x14ac:dyDescent="0.3">
      <c r="A228">
        <v>52.204720000000002</v>
      </c>
      <c r="B228">
        <v>0.14055999999999999</v>
      </c>
      <c r="C228">
        <v>15</v>
      </c>
      <c r="D228">
        <v>226</v>
      </c>
      <c r="E228">
        <v>52.111010670319956</v>
      </c>
      <c r="F228">
        <v>-1.7271608988642419E-2</v>
      </c>
    </row>
    <row r="229" spans="1:6" x14ac:dyDescent="0.3">
      <c r="A229">
        <v>52.204720000000002</v>
      </c>
      <c r="B229">
        <v>0.14055999999999999</v>
      </c>
      <c r="C229">
        <v>15</v>
      </c>
      <c r="D229">
        <v>227</v>
      </c>
      <c r="E229">
        <v>52.112713025553454</v>
      </c>
      <c r="F229">
        <v>-1.9913734219090692E-2</v>
      </c>
    </row>
    <row r="230" spans="1:6" x14ac:dyDescent="0.3">
      <c r="A230">
        <v>52.204720000000002</v>
      </c>
      <c r="B230">
        <v>0.14055999999999999</v>
      </c>
      <c r="C230">
        <v>15</v>
      </c>
      <c r="D230">
        <v>228</v>
      </c>
      <c r="E230">
        <v>52.114443382046517</v>
      </c>
      <c r="F230">
        <v>-2.2507280282454897E-2</v>
      </c>
    </row>
    <row r="231" spans="1:6" x14ac:dyDescent="0.3">
      <c r="A231">
        <v>52.204720000000002</v>
      </c>
      <c r="B231">
        <v>0.14055999999999999</v>
      </c>
      <c r="C231">
        <v>15</v>
      </c>
      <c r="D231">
        <v>229</v>
      </c>
      <c r="E231">
        <v>52.116201215947001</v>
      </c>
      <c r="F231">
        <v>-2.505145631061375E-2</v>
      </c>
    </row>
    <row r="232" spans="1:6" x14ac:dyDescent="0.3">
      <c r="A232">
        <v>52.204720000000002</v>
      </c>
      <c r="B232">
        <v>0.14055999999999999</v>
      </c>
      <c r="C232">
        <v>15</v>
      </c>
      <c r="D232">
        <v>230</v>
      </c>
      <c r="E232">
        <v>52.117985995022003</v>
      </c>
      <c r="F232">
        <v>-2.7545486107990468E-2</v>
      </c>
    </row>
    <row r="233" spans="1:6" x14ac:dyDescent="0.3">
      <c r="A233">
        <v>52.204720000000002</v>
      </c>
      <c r="B233">
        <v>0.14055999999999999</v>
      </c>
      <c r="C233">
        <v>15</v>
      </c>
      <c r="D233">
        <v>231</v>
      </c>
      <c r="E233">
        <v>52.119797178816036</v>
      </c>
      <c r="F233">
        <v>-2.9988608389348671E-2</v>
      </c>
    </row>
    <row r="234" spans="1:6" x14ac:dyDescent="0.3">
      <c r="A234">
        <v>52.204720000000002</v>
      </c>
      <c r="B234">
        <v>0.14055999999999999</v>
      </c>
      <c r="C234">
        <v>15</v>
      </c>
      <c r="D234">
        <v>232</v>
      </c>
      <c r="E234">
        <v>52.121634218811778</v>
      </c>
      <c r="F234">
        <v>-3.2380077013485088E-2</v>
      </c>
    </row>
    <row r="235" spans="1:6" x14ac:dyDescent="0.3">
      <c r="A235">
        <v>52.204720000000002</v>
      </c>
      <c r="B235">
        <v>0.14055999999999999</v>
      </c>
      <c r="C235">
        <v>15</v>
      </c>
      <c r="D235">
        <v>233</v>
      </c>
      <c r="E235">
        <v>52.123496558593374</v>
      </c>
      <c r="F235">
        <v>-3.4719161212747623E-2</v>
      </c>
    </row>
    <row r="236" spans="1:6" x14ac:dyDescent="0.3">
      <c r="A236">
        <v>52.204720000000002</v>
      </c>
      <c r="B236">
        <v>0.14055999999999999</v>
      </c>
      <c r="C236">
        <v>15</v>
      </c>
      <c r="D236">
        <v>234</v>
      </c>
      <c r="E236">
        <v>52.125383634011982</v>
      </c>
      <c r="F236">
        <v>-3.70051458183073E-2</v>
      </c>
    </row>
    <row r="237" spans="1:6" x14ac:dyDescent="0.3">
      <c r="A237">
        <v>52.204720000000002</v>
      </c>
      <c r="B237">
        <v>0.14055999999999999</v>
      </c>
      <c r="C237">
        <v>15</v>
      </c>
      <c r="D237">
        <v>235</v>
      </c>
      <c r="E237">
        <v>52.127294873353847</v>
      </c>
      <c r="F237">
        <v>-3.923733148110975E-2</v>
      </c>
    </row>
    <row r="238" spans="1:6" x14ac:dyDescent="0.3">
      <c r="A238">
        <v>52.204720000000002</v>
      </c>
      <c r="B238">
        <v>0.14055999999999999</v>
      </c>
      <c r="C238">
        <v>15</v>
      </c>
      <c r="D238">
        <v>236</v>
      </c>
      <c r="E238">
        <v>52.129229697510709</v>
      </c>
      <c r="F238">
        <v>-4.1415034888438881E-2</v>
      </c>
    </row>
    <row r="239" spans="1:6" x14ac:dyDescent="0.3">
      <c r="A239">
        <v>52.204720000000002</v>
      </c>
      <c r="B239">
        <v>0.14055999999999999</v>
      </c>
      <c r="C239">
        <v>15</v>
      </c>
      <c r="D239">
        <v>237</v>
      </c>
      <c r="E239">
        <v>52.13118752015243</v>
      </c>
      <c r="F239">
        <v>-4.3537588976020322E-2</v>
      </c>
    </row>
    <row r="240" spans="1:6" x14ac:dyDescent="0.3">
      <c r="A240">
        <v>52.204720000000002</v>
      </c>
      <c r="B240">
        <v>0.14055999999999999</v>
      </c>
      <c r="C240">
        <v>15</v>
      </c>
      <c r="D240">
        <v>238</v>
      </c>
      <c r="E240">
        <v>52.133167747901901</v>
      </c>
      <c r="F240">
        <v>-4.5604343135596644E-2</v>
      </c>
    </row>
    <row r="241" spans="1:6" x14ac:dyDescent="0.3">
      <c r="A241">
        <v>52.204720000000002</v>
      </c>
      <c r="B241">
        <v>0.14055999999999999</v>
      </c>
      <c r="C241">
        <v>15</v>
      </c>
      <c r="D241">
        <v>239</v>
      </c>
      <c r="E241">
        <v>52.135169780512172</v>
      </c>
      <c r="F241">
        <v>-4.7614663417906503E-2</v>
      </c>
    </row>
    <row r="242" spans="1:6" x14ac:dyDescent="0.3">
      <c r="A242">
        <v>52.204720000000002</v>
      </c>
      <c r="B242">
        <v>0.14055999999999999</v>
      </c>
      <c r="C242">
        <v>15</v>
      </c>
      <c r="D242">
        <v>240</v>
      </c>
      <c r="E242">
        <v>52.137193011045717</v>
      </c>
      <c r="F242">
        <v>-4.9567932730999777E-2</v>
      </c>
    </row>
    <row r="243" spans="1:6" x14ac:dyDescent="0.3">
      <c r="A243">
        <v>52.204720000000002</v>
      </c>
      <c r="B243">
        <v>0.14055999999999999</v>
      </c>
      <c r="C243">
        <v>15</v>
      </c>
      <c r="D243">
        <v>241</v>
      </c>
      <c r="E243">
        <v>52.139236826055765</v>
      </c>
      <c r="F243">
        <v>-5.1463551033822205E-2</v>
      </c>
    </row>
    <row r="244" spans="1:6" x14ac:dyDescent="0.3">
      <c r="A244">
        <v>52.204720000000002</v>
      </c>
      <c r="B244">
        <v>0.14055999999999999</v>
      </c>
      <c r="C244">
        <v>15</v>
      </c>
      <c r="D244">
        <v>242</v>
      </c>
      <c r="E244">
        <v>52.141300605769644</v>
      </c>
      <c r="F244">
        <v>-5.3300935525004541E-2</v>
      </c>
    </row>
    <row r="245" spans="1:6" x14ac:dyDescent="0.3">
      <c r="A245">
        <v>52.204720000000002</v>
      </c>
      <c r="B245">
        <v>0.14055999999999999</v>
      </c>
      <c r="C245">
        <v>15</v>
      </c>
      <c r="D245">
        <v>243</v>
      </c>
      <c r="E245">
        <v>52.143383724274273</v>
      </c>
      <c r="F245">
        <v>-5.5079520826792572E-2</v>
      </c>
    </row>
    <row r="246" spans="1:6" x14ac:dyDescent="0.3">
      <c r="A246">
        <v>52.204720000000002</v>
      </c>
      <c r="B246">
        <v>0.14055999999999999</v>
      </c>
      <c r="C246">
        <v>15</v>
      </c>
      <c r="D246">
        <v>244</v>
      </c>
      <c r="E246">
        <v>52.145485549703388</v>
      </c>
      <c r="F246">
        <v>-5.6798759164052769E-2</v>
      </c>
    </row>
    <row r="247" spans="1:6" x14ac:dyDescent="0.3">
      <c r="A247">
        <v>52.204720000000002</v>
      </c>
      <c r="B247">
        <v>0.14055999999999999</v>
      </c>
      <c r="C247">
        <v>15</v>
      </c>
      <c r="D247">
        <v>245</v>
      </c>
      <c r="E247">
        <v>52.147605444426794</v>
      </c>
      <c r="F247">
        <v>-5.8458120538292413E-2</v>
      </c>
    </row>
    <row r="248" spans="1:6" x14ac:dyDescent="0.3">
      <c r="A248">
        <v>52.204720000000002</v>
      </c>
      <c r="B248">
        <v>0.14055999999999999</v>
      </c>
      <c r="C248">
        <v>15</v>
      </c>
      <c r="D248">
        <v>246</v>
      </c>
      <c r="E248">
        <v>52.149742765241449</v>
      </c>
      <c r="F248">
        <v>-6.0057092896632948E-2</v>
      </c>
    </row>
    <row r="249" spans="1:6" x14ac:dyDescent="0.3">
      <c r="A249">
        <v>52.204720000000002</v>
      </c>
      <c r="B249">
        <v>0.14055999999999999</v>
      </c>
      <c r="C249">
        <v>15</v>
      </c>
      <c r="D249">
        <v>247</v>
      </c>
      <c r="E249">
        <v>52.151896863564197</v>
      </c>
      <c r="F249">
        <v>-6.1595182295675358E-2</v>
      </c>
    </row>
    <row r="250" spans="1:6" x14ac:dyDescent="0.3">
      <c r="A250">
        <v>52.204720000000002</v>
      </c>
      <c r="B250">
        <v>0.14055999999999999</v>
      </c>
      <c r="C250">
        <v>15</v>
      </c>
      <c r="D250">
        <v>248</v>
      </c>
      <c r="E250">
        <v>52.15406708562643</v>
      </c>
      <c r="F250">
        <v>-6.3071913060199922E-2</v>
      </c>
    </row>
    <row r="251" spans="1:6" x14ac:dyDescent="0.3">
      <c r="A251">
        <v>52.204720000000002</v>
      </c>
      <c r="B251">
        <v>0.14055999999999999</v>
      </c>
      <c r="C251">
        <v>15</v>
      </c>
      <c r="D251">
        <v>249</v>
      </c>
      <c r="E251">
        <v>52.156252772670214</v>
      </c>
      <c r="F251">
        <v>-6.4486827936640512E-2</v>
      </c>
    </row>
    <row r="252" spans="1:6" x14ac:dyDescent="0.3">
      <c r="A252">
        <v>52.204720000000002</v>
      </c>
      <c r="B252">
        <v>0.14055999999999999</v>
      </c>
      <c r="C252">
        <v>15</v>
      </c>
      <c r="D252">
        <v>250</v>
      </c>
      <c r="E252">
        <v>52.158453261146185</v>
      </c>
      <c r="F252">
        <v>-6.5839488241278721E-2</v>
      </c>
    </row>
    <row r="253" spans="1:6" x14ac:dyDescent="0.3">
      <c r="A253">
        <v>52.204720000000002</v>
      </c>
      <c r="B253">
        <v>0.14055999999999999</v>
      </c>
      <c r="C253">
        <v>15</v>
      </c>
      <c r="D253">
        <v>251</v>
      </c>
      <c r="E253">
        <v>52.160667882912911</v>
      </c>
      <c r="F253">
        <v>-6.7129474003099612E-2</v>
      </c>
    </row>
    <row r="254" spans="1:6" x14ac:dyDescent="0.3">
      <c r="A254">
        <v>52.204720000000002</v>
      </c>
      <c r="B254">
        <v>0.14055999999999999</v>
      </c>
      <c r="C254">
        <v>15</v>
      </c>
      <c r="D254">
        <v>252</v>
      </c>
      <c r="E254">
        <v>52.162895965437762</v>
      </c>
      <c r="F254">
        <v>-6.8356384101258036E-2</v>
      </c>
    </row>
    <row r="255" spans="1:6" x14ac:dyDescent="0.3">
      <c r="A255">
        <v>52.204720000000002</v>
      </c>
      <c r="B255">
        <v>0.14055999999999999</v>
      </c>
      <c r="C255">
        <v>15</v>
      </c>
      <c r="D255">
        <v>253</v>
      </c>
      <c r="E255">
        <v>52.165136831999305</v>
      </c>
      <c r="F255">
        <v>-6.9519836397098939E-2</v>
      </c>
    </row>
    <row r="256" spans="1:6" x14ac:dyDescent="0.3">
      <c r="A256">
        <v>52.204720000000002</v>
      </c>
      <c r="B256">
        <v>0.14055999999999999</v>
      </c>
      <c r="C256">
        <v>15</v>
      </c>
      <c r="D256">
        <v>254</v>
      </c>
      <c r="E256">
        <v>52.167389801890906</v>
      </c>
      <c r="F256">
        <v>-7.0619467860681906E-2</v>
      </c>
    </row>
    <row r="257" spans="1:6" x14ac:dyDescent="0.3">
      <c r="A257">
        <v>52.204720000000002</v>
      </c>
      <c r="B257">
        <v>0.14055999999999999</v>
      </c>
      <c r="C257">
        <v>15</v>
      </c>
      <c r="D257">
        <v>255</v>
      </c>
      <c r="E257">
        <v>52.169654190625891</v>
      </c>
      <c r="F257">
        <v>-7.1654934691759861E-2</v>
      </c>
    </row>
    <row r="258" spans="1:6" x14ac:dyDescent="0.3">
      <c r="A258">
        <v>52.204720000000002</v>
      </c>
      <c r="B258">
        <v>0.14055999999999999</v>
      </c>
      <c r="C258">
        <v>15</v>
      </c>
      <c r="D258">
        <v>256</v>
      </c>
      <c r="E258">
        <v>52.171929310143746</v>
      </c>
      <c r="F258">
        <v>-7.2625912435159798E-2</v>
      </c>
    </row>
    <row r="259" spans="1:6" x14ac:dyDescent="0.3">
      <c r="A259">
        <v>52.204720000000002</v>
      </c>
      <c r="B259">
        <v>0.14055999999999999</v>
      </c>
      <c r="C259">
        <v>15</v>
      </c>
      <c r="D259">
        <v>257</v>
      </c>
      <c r="E259">
        <v>52.174214469017663</v>
      </c>
      <c r="F259">
        <v>-7.3532096090521928E-2</v>
      </c>
    </row>
    <row r="260" spans="1:6" x14ac:dyDescent="0.3">
      <c r="A260">
        <v>52.204720000000002</v>
      </c>
      <c r="B260">
        <v>0.14055999999999999</v>
      </c>
      <c r="C260">
        <v>15</v>
      </c>
      <c r="D260">
        <v>258</v>
      </c>
      <c r="E260">
        <v>52.176508972663171</v>
      </c>
      <c r="F260">
        <v>-7.4373200216347066E-2</v>
      </c>
    </row>
    <row r="261" spans="1:6" x14ac:dyDescent="0.3">
      <c r="A261">
        <v>52.204720000000002</v>
      </c>
      <c r="B261">
        <v>0.14055999999999999</v>
      </c>
      <c r="C261">
        <v>15</v>
      </c>
      <c r="D261">
        <v>259</v>
      </c>
      <c r="E261">
        <v>52.178812123547857</v>
      </c>
      <c r="F261">
        <v>-7.5148959028309328E-2</v>
      </c>
    </row>
    <row r="262" spans="1:6" x14ac:dyDescent="0.3">
      <c r="A262">
        <v>52.204720000000002</v>
      </c>
      <c r="B262">
        <v>0.14055999999999999</v>
      </c>
      <c r="C262">
        <v>15</v>
      </c>
      <c r="D262">
        <v>260</v>
      </c>
      <c r="E262">
        <v>52.181123221402146</v>
      </c>
      <c r="F262">
        <v>-7.5859126491790607E-2</v>
      </c>
    </row>
    <row r="263" spans="1:6" x14ac:dyDescent="0.3">
      <c r="A263">
        <v>52.204720000000002</v>
      </c>
      <c r="B263">
        <v>0.14055999999999999</v>
      </c>
      <c r="C263">
        <v>15</v>
      </c>
      <c r="D263">
        <v>261</v>
      </c>
      <c r="E263">
        <v>52.183441563430939</v>
      </c>
      <c r="F263">
        <v>-7.6503476408593563E-2</v>
      </c>
    </row>
    <row r="264" spans="1:6" x14ac:dyDescent="0.3">
      <c r="A264">
        <v>52.204720000000002</v>
      </c>
      <c r="B264">
        <v>0.14055999999999999</v>
      </c>
      <c r="C264">
        <v>15</v>
      </c>
      <c r="D264">
        <v>262</v>
      </c>
      <c r="E264">
        <v>52.185766444526308</v>
      </c>
      <c r="F264">
        <v>-7.7081802497793797E-2</v>
      </c>
    </row>
    <row r="265" spans="1:6" x14ac:dyDescent="0.3">
      <c r="A265">
        <v>52.204720000000002</v>
      </c>
      <c r="B265">
        <v>0.14055999999999999</v>
      </c>
      <c r="C265">
        <v>15</v>
      </c>
      <c r="D265">
        <v>263</v>
      </c>
      <c r="E265">
        <v>52.188097157480833</v>
      </c>
      <c r="F265">
        <v>-7.7593918470691872E-2</v>
      </c>
    </row>
    <row r="266" spans="1:6" x14ac:dyDescent="0.3">
      <c r="A266">
        <v>52.204720000000002</v>
      </c>
      <c r="B266">
        <v>0.14055999999999999</v>
      </c>
      <c r="C266">
        <v>15</v>
      </c>
      <c r="D266">
        <v>264</v>
      </c>
      <c r="E266">
        <v>52.190432993201867</v>
      </c>
      <c r="F266">
        <v>-7.8039658099827477E-2</v>
      </c>
    </row>
    <row r="267" spans="1:6" x14ac:dyDescent="0.3">
      <c r="A267">
        <v>52.204720000000002</v>
      </c>
      <c r="B267">
        <v>0.14055999999999999</v>
      </c>
      <c r="C267">
        <v>15</v>
      </c>
      <c r="D267">
        <v>265</v>
      </c>
      <c r="E267">
        <v>52.192773240926428</v>
      </c>
      <c r="F267">
        <v>-7.8418875282020531E-2</v>
      </c>
    </row>
    <row r="268" spans="1:6" x14ac:dyDescent="0.3">
      <c r="A268">
        <v>52.204720000000002</v>
      </c>
      <c r="B268">
        <v>0.14055999999999999</v>
      </c>
      <c r="C268">
        <v>15</v>
      </c>
      <c r="D268">
        <v>266</v>
      </c>
      <c r="E268">
        <v>52.195117188436747</v>
      </c>
      <c r="F268">
        <v>-7.8731444095404501E-2</v>
      </c>
    </row>
    <row r="269" spans="1:6" x14ac:dyDescent="0.3">
      <c r="A269">
        <v>52.204720000000002</v>
      </c>
      <c r="B269">
        <v>0.14055999999999999</v>
      </c>
      <c r="C269">
        <v>15</v>
      </c>
      <c r="D269">
        <v>267</v>
      </c>
      <c r="E269">
        <v>52.197464122276408</v>
      </c>
      <c r="F269">
        <v>-7.8977258850420021E-2</v>
      </c>
    </row>
    <row r="270" spans="1:6" x14ac:dyDescent="0.3">
      <c r="A270">
        <v>52.204720000000002</v>
      </c>
      <c r="B270">
        <v>0.14055999999999999</v>
      </c>
      <c r="C270">
        <v>15</v>
      </c>
      <c r="D270">
        <v>268</v>
      </c>
      <c r="E270">
        <v>52.199813327966964</v>
      </c>
      <c r="F270">
        <v>-7.9156234134737311E-2</v>
      </c>
    </row>
    <row r="271" spans="1:6" x14ac:dyDescent="0.3">
      <c r="A271">
        <v>52.204720000000002</v>
      </c>
      <c r="B271">
        <v>0.14055999999999999</v>
      </c>
      <c r="C271">
        <v>15</v>
      </c>
      <c r="D271">
        <v>269</v>
      </c>
      <c r="E271">
        <v>52.202164090225054</v>
      </c>
      <c r="F271">
        <v>-7.9268304852078947E-2</v>
      </c>
    </row>
    <row r="272" spans="1:6" x14ac:dyDescent="0.3">
      <c r="A272">
        <v>52.204720000000002</v>
      </c>
      <c r="B272">
        <v>0.14055999999999999</v>
      </c>
      <c r="C272">
        <v>15</v>
      </c>
      <c r="D272">
        <v>270</v>
      </c>
      <c r="E272">
        <v>52.204515693179857</v>
      </c>
      <c r="F272">
        <v>-7.9313426254915581E-2</v>
      </c>
    </row>
    <row r="273" spans="1:6" x14ac:dyDescent="0.3">
      <c r="A273">
        <v>52.204720000000002</v>
      </c>
      <c r="B273">
        <v>0.14055999999999999</v>
      </c>
      <c r="C273">
        <v>15</v>
      </c>
      <c r="D273">
        <v>271</v>
      </c>
      <c r="E273">
        <v>52.206867420590918</v>
      </c>
      <c r="F273">
        <v>-7.9291573971008472E-2</v>
      </c>
    </row>
    <row r="274" spans="1:6" x14ac:dyDescent="0.3">
      <c r="A274">
        <v>52.204720000000002</v>
      </c>
      <c r="B274">
        <v>0.14055999999999999</v>
      </c>
      <c r="C274">
        <v>15</v>
      </c>
      <c r="D274">
        <v>272</v>
      </c>
      <c r="E274">
        <v>52.209218556066126</v>
      </c>
      <c r="F274">
        <v>-7.9202744023775515E-2</v>
      </c>
    </row>
    <row r="275" spans="1:6" x14ac:dyDescent="0.3">
      <c r="A275">
        <v>52.204720000000002</v>
      </c>
      <c r="B275">
        <v>0.14055999999999999</v>
      </c>
      <c r="C275">
        <v>15</v>
      </c>
      <c r="D275">
        <v>273</v>
      </c>
      <c r="E275">
        <v>52.211568383279996</v>
      </c>
      <c r="F275">
        <v>-7.9046952846459032E-2</v>
      </c>
    </row>
    <row r="276" spans="1:6" x14ac:dyDescent="0.3">
      <c r="A276">
        <v>52.204720000000002</v>
      </c>
      <c r="B276">
        <v>0.14055999999999999</v>
      </c>
      <c r="C276">
        <v>15</v>
      </c>
      <c r="D276">
        <v>274</v>
      </c>
      <c r="E276">
        <v>52.213916186191952</v>
      </c>
      <c r="F276">
        <v>-7.8824237290074567E-2</v>
      </c>
    </row>
    <row r="277" spans="1:6" x14ac:dyDescent="0.3">
      <c r="A277">
        <v>52.204720000000002</v>
      </c>
      <c r="B277">
        <v>0.14055999999999999</v>
      </c>
      <c r="C277">
        <v>15</v>
      </c>
      <c r="D277">
        <v>275</v>
      </c>
      <c r="E277">
        <v>52.216261249264782</v>
      </c>
      <c r="F277">
        <v>-7.853465462512324E-2</v>
      </c>
    </row>
    <row r="278" spans="1:6" x14ac:dyDescent="0.3">
      <c r="A278">
        <v>52.204720000000002</v>
      </c>
      <c r="B278">
        <v>0.14055999999999999</v>
      </c>
      <c r="C278">
        <v>15</v>
      </c>
      <c r="D278">
        <v>276</v>
      </c>
      <c r="E278">
        <v>52.218602857682981</v>
      </c>
      <c r="F278">
        <v>-7.8178282537050281E-2</v>
      </c>
    </row>
    <row r="279" spans="1:6" x14ac:dyDescent="0.3">
      <c r="A279">
        <v>52.204720000000002</v>
      </c>
      <c r="B279">
        <v>0.14055999999999999</v>
      </c>
      <c r="C279">
        <v>15</v>
      </c>
      <c r="D279">
        <v>277</v>
      </c>
      <c r="E279">
        <v>52.220940297571076</v>
      </c>
      <c r="F279">
        <v>-7.7755219115437021E-2</v>
      </c>
    </row>
    <row r="280" spans="1:6" x14ac:dyDescent="0.3">
      <c r="A280">
        <v>52.204720000000002</v>
      </c>
      <c r="B280">
        <v>0.14055999999999999</v>
      </c>
      <c r="C280">
        <v>15</v>
      </c>
      <c r="D280">
        <v>278</v>
      </c>
      <c r="E280">
        <v>52.223272856211736</v>
      </c>
      <c r="F280">
        <v>-7.726558283691165E-2</v>
      </c>
    </row>
    <row r="281" spans="1:6" x14ac:dyDescent="0.3">
      <c r="A281">
        <v>52.204720000000002</v>
      </c>
      <c r="B281">
        <v>0.14055999999999999</v>
      </c>
      <c r="C281">
        <v>15</v>
      </c>
      <c r="D281">
        <v>279</v>
      </c>
      <c r="E281">
        <v>52.225599822263717</v>
      </c>
      <c r="F281">
        <v>-7.6709512541770108E-2</v>
      </c>
    </row>
    <row r="282" spans="1:6" x14ac:dyDescent="0.3">
      <c r="A282">
        <v>52.204720000000002</v>
      </c>
      <c r="B282">
        <v>0.14055999999999999</v>
      </c>
      <c r="C282">
        <v>15</v>
      </c>
      <c r="D282">
        <v>280</v>
      </c>
      <c r="E282">
        <v>52.227920485979531</v>
      </c>
      <c r="F282">
        <v>-7.6087167404298009E-2</v>
      </c>
    </row>
    <row r="283" spans="1:6" x14ac:dyDescent="0.3">
      <c r="A283">
        <v>52.204720000000002</v>
      </c>
      <c r="B283">
        <v>0.14055999999999999</v>
      </c>
      <c r="C283">
        <v>15</v>
      </c>
      <c r="D283">
        <v>281</v>
      </c>
      <c r="E283">
        <v>52.230234139422748</v>
      </c>
      <c r="F283">
        <v>-7.5398726896787213E-2</v>
      </c>
    </row>
    <row r="284" spans="1:6" x14ac:dyDescent="0.3">
      <c r="A284">
        <v>52.204720000000002</v>
      </c>
      <c r="B284">
        <v>0.14055999999999999</v>
      </c>
      <c r="C284">
        <v>15</v>
      </c>
      <c r="D284">
        <v>282</v>
      </c>
      <c r="E284">
        <v>52.232540076684828</v>
      </c>
      <c r="F284">
        <v>-7.464439074724144E-2</v>
      </c>
    </row>
    <row r="285" spans="1:6" x14ac:dyDescent="0.3">
      <c r="A285">
        <v>52.204720000000002</v>
      </c>
      <c r="B285">
        <v>0.14055999999999999</v>
      </c>
      <c r="C285">
        <v>15</v>
      </c>
      <c r="D285">
        <v>283</v>
      </c>
      <c r="E285">
        <v>52.234837594101563</v>
      </c>
      <c r="F285">
        <v>-7.3824378890771217E-2</v>
      </c>
    </row>
    <row r="286" spans="1:6" x14ac:dyDescent="0.3">
      <c r="A286">
        <v>52.204720000000002</v>
      </c>
      <c r="B286">
        <v>0.14055999999999999</v>
      </c>
      <c r="C286">
        <v>15</v>
      </c>
      <c r="D286">
        <v>284</v>
      </c>
      <c r="E286">
        <v>52.237125990468876</v>
      </c>
      <c r="F286">
        <v>-7.2938931414674654E-2</v>
      </c>
    </row>
    <row r="287" spans="1:6" x14ac:dyDescent="0.3">
      <c r="A287">
        <v>52.204720000000002</v>
      </c>
      <c r="B287">
        <v>0.14055999999999999</v>
      </c>
      <c r="C287">
        <v>15</v>
      </c>
      <c r="D287">
        <v>285</v>
      </c>
      <c r="E287">
        <v>52.239404567258077</v>
      </c>
      <c r="F287">
        <v>-7.1988308497208303E-2</v>
      </c>
    </row>
    <row r="288" spans="1:6" x14ac:dyDescent="0.3">
      <c r="A288">
        <v>52.204720000000002</v>
      </c>
      <c r="B288">
        <v>0.14055999999999999</v>
      </c>
      <c r="C288">
        <v>15</v>
      </c>
      <c r="D288">
        <v>286</v>
      </c>
      <c r="E288">
        <v>52.241672628830379</v>
      </c>
      <c r="F288">
        <v>-7.0972790340051065E-2</v>
      </c>
    </row>
    <row r="289" spans="1:6" x14ac:dyDescent="0.3">
      <c r="A289">
        <v>52.204720000000002</v>
      </c>
      <c r="B289">
        <v>0.14055999999999999</v>
      </c>
      <c r="C289">
        <v>15</v>
      </c>
      <c r="D289">
        <v>287</v>
      </c>
      <c r="E289">
        <v>52.243929482650664</v>
      </c>
      <c r="F289">
        <v>-6.9892677094466754E-2</v>
      </c>
    </row>
    <row r="290" spans="1:6" x14ac:dyDescent="0.3">
      <c r="A290">
        <v>52.204720000000002</v>
      </c>
      <c r="B290">
        <v>0.14055999999999999</v>
      </c>
      <c r="C290">
        <v>15</v>
      </c>
      <c r="D290">
        <v>288</v>
      </c>
      <c r="E290">
        <v>52.246174439500464</v>
      </c>
      <c r="F290">
        <v>-6.8748288781174338E-2</v>
      </c>
    </row>
    <row r="291" spans="1:6" x14ac:dyDescent="0.3">
      <c r="A291">
        <v>52.204720000000002</v>
      </c>
      <c r="B291">
        <v>0.14055999999999999</v>
      </c>
      <c r="C291">
        <v>15</v>
      </c>
      <c r="D291">
        <v>289</v>
      </c>
      <c r="E291">
        <v>52.248406813689961</v>
      </c>
      <c r="F291">
        <v>-6.7539965203935654E-2</v>
      </c>
    </row>
    <row r="292" spans="1:6" x14ac:dyDescent="0.3">
      <c r="A292">
        <v>52.204720000000002</v>
      </c>
      <c r="B292">
        <v>0.14055999999999999</v>
      </c>
      <c r="C292">
        <v>15</v>
      </c>
      <c r="D292">
        <v>290</v>
      </c>
      <c r="E292">
        <v>52.250625923269183</v>
      </c>
      <c r="F292">
        <v>-6.6268065856873282E-2</v>
      </c>
    </row>
    <row r="293" spans="1:6" x14ac:dyDescent="0.3">
      <c r="A293">
        <v>52.204720000000002</v>
      </c>
      <c r="B293">
        <v>0.14055999999999999</v>
      </c>
      <c r="C293">
        <v>15</v>
      </c>
      <c r="D293">
        <v>291</v>
      </c>
      <c r="E293">
        <v>52.25283109023799</v>
      </c>
      <c r="F293">
        <v>-6.4932969825533662E-2</v>
      </c>
    </row>
    <row r="294" spans="1:6" x14ac:dyDescent="0.3">
      <c r="A294">
        <v>52.204720000000002</v>
      </c>
      <c r="B294">
        <v>0.14055999999999999</v>
      </c>
      <c r="C294">
        <v>15</v>
      </c>
      <c r="D294">
        <v>292</v>
      </c>
      <c r="E294">
        <v>52.255021640755132</v>
      </c>
      <c r="F294">
        <v>-6.3535075681711628E-2</v>
      </c>
    </row>
    <row r="295" spans="1:6" x14ac:dyDescent="0.3">
      <c r="A295">
        <v>52.204720000000002</v>
      </c>
      <c r="B295">
        <v>0.14055999999999999</v>
      </c>
      <c r="C295">
        <v>15</v>
      </c>
      <c r="D295">
        <v>293</v>
      </c>
      <c r="E295">
        <v>52.257196905346056</v>
      </c>
      <c r="F295">
        <v>-6.2074801372055871E-2</v>
      </c>
    </row>
    <row r="296" spans="1:6" x14ac:dyDescent="0.3">
      <c r="A296">
        <v>52.204720000000002</v>
      </c>
      <c r="B296">
        <v>0.14055999999999999</v>
      </c>
      <c r="C296">
        <v>15</v>
      </c>
      <c r="D296">
        <v>294</v>
      </c>
      <c r="E296">
        <v>52.259356219109485</v>
      </c>
      <c r="F296">
        <v>-6.0552584100476946E-2</v>
      </c>
    </row>
    <row r="297" spans="1:6" x14ac:dyDescent="0.3">
      <c r="A297">
        <v>52.204720000000002</v>
      </c>
      <c r="B297">
        <v>0.14055999999999999</v>
      </c>
      <c r="C297">
        <v>15</v>
      </c>
      <c r="D297">
        <v>295</v>
      </c>
      <c r="E297">
        <v>52.261498921922787</v>
      </c>
      <c r="F297">
        <v>-5.896888020438143E-2</v>
      </c>
    </row>
    <row r="298" spans="1:6" x14ac:dyDescent="0.3">
      <c r="A298">
        <v>52.204720000000002</v>
      </c>
      <c r="B298">
        <v>0.14055999999999999</v>
      </c>
      <c r="C298">
        <v>15</v>
      </c>
      <c r="D298">
        <v>296</v>
      </c>
      <c r="E298">
        <v>52.263624358645899</v>
      </c>
      <c r="F298">
        <v>-5.7324165024757505E-2</v>
      </c>
    </row>
    <row r="299" spans="1:6" x14ac:dyDescent="0.3">
      <c r="A299">
        <v>52.204720000000002</v>
      </c>
      <c r="B299">
        <v>0.14055999999999999</v>
      </c>
      <c r="C299">
        <v>15</v>
      </c>
      <c r="D299">
        <v>297</v>
      </c>
      <c r="E299">
        <v>52.265731879323894</v>
      </c>
      <c r="F299">
        <v>-5.5618932770140281E-2</v>
      </c>
    </row>
    <row r="300" spans="1:6" x14ac:dyDescent="0.3">
      <c r="A300">
        <v>52.204720000000002</v>
      </c>
      <c r="B300">
        <v>0.14055999999999999</v>
      </c>
      <c r="C300">
        <v>15</v>
      </c>
      <c r="D300">
        <v>298</v>
      </c>
      <c r="E300">
        <v>52.267820839387987</v>
      </c>
      <c r="F300">
        <v>-5.3853696374487961E-2</v>
      </c>
    </row>
    <row r="301" spans="1:6" x14ac:dyDescent="0.3">
      <c r="A301">
        <v>52.204720000000002</v>
      </c>
      <c r="B301">
        <v>0.14055999999999999</v>
      </c>
      <c r="C301">
        <v>15</v>
      </c>
      <c r="D301">
        <v>299</v>
      </c>
      <c r="E301">
        <v>52.269890599855074</v>
      </c>
      <c r="F301">
        <v>-5.2028987349000425E-2</v>
      </c>
    </row>
    <row r="302" spans="1:6" x14ac:dyDescent="0.3">
      <c r="A302">
        <v>52.204720000000002</v>
      </c>
      <c r="B302">
        <v>0.14055999999999999</v>
      </c>
      <c r="C302">
        <v>15</v>
      </c>
      <c r="D302">
        <v>300</v>
      </c>
      <c r="E302">
        <v>52.271940527525608</v>
      </c>
      <c r="F302">
        <v>-5.0145355627915986E-2</v>
      </c>
    </row>
    <row r="303" spans="1:6" x14ac:dyDescent="0.3">
      <c r="A303">
        <v>52.204720000000002</v>
      </c>
      <c r="B303">
        <v>0.14055999999999999</v>
      </c>
      <c r="C303">
        <v>15</v>
      </c>
      <c r="D303">
        <v>301</v>
      </c>
      <c r="E303">
        <v>52.27396999517979</v>
      </c>
      <c r="F303">
        <v>-4.8203369408322823E-2</v>
      </c>
    </row>
    <row r="304" spans="1:6" x14ac:dyDescent="0.3">
      <c r="A304">
        <v>52.204720000000002</v>
      </c>
      <c r="B304">
        <v>0.14055999999999999</v>
      </c>
      <c r="C304">
        <v>15</v>
      </c>
      <c r="D304">
        <v>302</v>
      </c>
      <c r="E304">
        <v>52.275978381772049</v>
      </c>
      <c r="F304">
        <v>-4.6203614984025095E-2</v>
      </c>
    </row>
    <row r="305" spans="1:6" x14ac:dyDescent="0.3">
      <c r="A305">
        <v>52.204720000000002</v>
      </c>
      <c r="B305">
        <v>0.14055999999999999</v>
      </c>
      <c r="C305">
        <v>15</v>
      </c>
      <c r="D305">
        <v>303</v>
      </c>
      <c r="E305">
        <v>52.277965072623658</v>
      </c>
      <c r="F305">
        <v>-4.4146696573504861E-2</v>
      </c>
    </row>
    <row r="306" spans="1:6" x14ac:dyDescent="0.3">
      <c r="A306">
        <v>52.204720000000002</v>
      </c>
      <c r="B306">
        <v>0.14055999999999999</v>
      </c>
      <c r="C306">
        <v>15</v>
      </c>
      <c r="D306">
        <v>304</v>
      </c>
      <c r="E306">
        <v>52.279929459613541</v>
      </c>
      <c r="F306">
        <v>-4.2033236142024602E-2</v>
      </c>
    </row>
    <row r="307" spans="1:6" x14ac:dyDescent="0.3">
      <c r="A307">
        <v>52.204720000000002</v>
      </c>
      <c r="B307">
        <v>0.14055999999999999</v>
      </c>
      <c r="C307">
        <v>15</v>
      </c>
      <c r="D307">
        <v>305</v>
      </c>
      <c r="E307">
        <v>52.281870941367075</v>
      </c>
      <c r="F307">
        <v>-3.9863873217916249E-2</v>
      </c>
    </row>
    <row r="308" spans="1:6" x14ac:dyDescent="0.3">
      <c r="A308">
        <v>52.204720000000002</v>
      </c>
      <c r="B308">
        <v>0.14055999999999999</v>
      </c>
      <c r="C308">
        <v>15</v>
      </c>
      <c r="D308">
        <v>306</v>
      </c>
      <c r="E308">
        <v>52.283788923443034</v>
      </c>
      <c r="F308">
        <v>-3.7639264703104448E-2</v>
      </c>
    </row>
    <row r="309" spans="1:6" x14ac:dyDescent="0.3">
      <c r="A309">
        <v>52.204720000000002</v>
      </c>
      <c r="B309">
        <v>0.14055999999999999</v>
      </c>
      <c r="C309">
        <v>15</v>
      </c>
      <c r="D309">
        <v>307</v>
      </c>
      <c r="E309">
        <v>52.285682818518261</v>
      </c>
      <c r="F309">
        <v>-3.5360084677916383E-2</v>
      </c>
    </row>
    <row r="310" spans="1:6" x14ac:dyDescent="0.3">
      <c r="A310">
        <v>52.204720000000002</v>
      </c>
      <c r="B310">
        <v>0.14055999999999999</v>
      </c>
      <c r="C310">
        <v>15</v>
      </c>
      <c r="D310">
        <v>308</v>
      </c>
      <c r="E310">
        <v>52.28755204657044</v>
      </c>
      <c r="F310">
        <v>-3.3027024200230216E-2</v>
      </c>
    </row>
    <row r="311" spans="1:6" x14ac:dyDescent="0.3">
      <c r="A311">
        <v>52.204720000000002</v>
      </c>
      <c r="B311">
        <v>0.14055999999999999</v>
      </c>
      <c r="C311">
        <v>15</v>
      </c>
      <c r="D311">
        <v>309</v>
      </c>
      <c r="E311">
        <v>52.28939603505853</v>
      </c>
      <c r="F311">
        <v>-3.0640791099017631E-2</v>
      </c>
    </row>
    <row r="312" spans="1:6" x14ac:dyDescent="0.3">
      <c r="A312">
        <v>52.204720000000002</v>
      </c>
      <c r="B312">
        <v>0.14055999999999999</v>
      </c>
      <c r="C312">
        <v>15</v>
      </c>
      <c r="D312">
        <v>310</v>
      </c>
      <c r="E312">
        <v>52.291214219101079</v>
      </c>
      <c r="F312">
        <v>-2.8202109762338577E-2</v>
      </c>
    </row>
    <row r="313" spans="1:6" x14ac:dyDescent="0.3">
      <c r="A313">
        <v>52.204720000000002</v>
      </c>
      <c r="B313">
        <v>0.14055999999999999</v>
      </c>
      <c r="C313">
        <v>15</v>
      </c>
      <c r="D313">
        <v>311</v>
      </c>
      <c r="E313">
        <v>52.293006041652141</v>
      </c>
      <c r="F313">
        <v>-2.5711720919846269E-2</v>
      </c>
    </row>
    <row r="314" spans="1:6" x14ac:dyDescent="0.3">
      <c r="A314">
        <v>52.204720000000002</v>
      </c>
      <c r="B314">
        <v>0.14055999999999999</v>
      </c>
      <c r="C314">
        <v>15</v>
      </c>
      <c r="D314">
        <v>312</v>
      </c>
      <c r="E314">
        <v>52.294770953674906</v>
      </c>
      <c r="F314">
        <v>-2.3170381419867613E-2</v>
      </c>
    </row>
    <row r="315" spans="1:6" x14ac:dyDescent="0.3">
      <c r="A315">
        <v>52.204720000000002</v>
      </c>
      <c r="B315">
        <v>0.14055999999999999</v>
      </c>
      <c r="C315">
        <v>15</v>
      </c>
      <c r="D315">
        <v>313</v>
      </c>
      <c r="E315">
        <v>52.296508414312896</v>
      </c>
      <c r="F315">
        <v>-2.0578864001119544E-2</v>
      </c>
    </row>
    <row r="316" spans="1:6" x14ac:dyDescent="0.3">
      <c r="A316">
        <v>52.204720000000002</v>
      </c>
      <c r="B316">
        <v>0.14055999999999999</v>
      </c>
      <c r="C316">
        <v>15</v>
      </c>
      <c r="D316">
        <v>314</v>
      </c>
      <c r="E316">
        <v>52.298217891058698</v>
      </c>
      <c r="F316">
        <v>-1.7937957059131589E-2</v>
      </c>
    </row>
    <row r="317" spans="1:6" x14ac:dyDescent="0.3">
      <c r="A317">
        <v>52.204720000000002</v>
      </c>
      <c r="B317">
        <v>0.14055999999999999</v>
      </c>
      <c r="C317">
        <v>15</v>
      </c>
      <c r="D317">
        <v>315</v>
      </c>
      <c r="E317">
        <v>52.299898859920148</v>
      </c>
      <c r="F317">
        <v>-1.5248464407438799E-2</v>
      </c>
    </row>
    <row r="318" spans="1:6" x14ac:dyDescent="0.3">
      <c r="A318">
        <v>52.204720000000002</v>
      </c>
      <c r="B318">
        <v>0.14055999999999999</v>
      </c>
      <c r="C318">
        <v>15</v>
      </c>
      <c r="D318">
        <v>316</v>
      </c>
      <c r="E318">
        <v>52.301550805583972</v>
      </c>
      <c r="F318">
        <v>-1.251120503362051E-2</v>
      </c>
    </row>
    <row r="319" spans="1:6" x14ac:dyDescent="0.3">
      <c r="A319">
        <v>52.204720000000002</v>
      </c>
      <c r="B319">
        <v>0.14055999999999999</v>
      </c>
      <c r="C319">
        <v>15</v>
      </c>
      <c r="D319">
        <v>317</v>
      </c>
      <c r="E319">
        <v>52.303173221576728</v>
      </c>
      <c r="F319">
        <v>-9.7270128502540479E-3</v>
      </c>
    </row>
    <row r="320" spans="1:6" x14ac:dyDescent="0.3">
      <c r="A320">
        <v>52.204720000000002</v>
      </c>
      <c r="B320">
        <v>0.14055999999999999</v>
      </c>
      <c r="C320">
        <v>15</v>
      </c>
      <c r="D320">
        <v>318</v>
      </c>
      <c r="E320">
        <v>52.304765610423161</v>
      </c>
      <c r="F320">
        <v>-6.8967364408606211E-3</v>
      </c>
    </row>
    <row r="321" spans="1:6" x14ac:dyDescent="0.3">
      <c r="A321">
        <v>52.204720000000002</v>
      </c>
      <c r="B321">
        <v>0.14055999999999999</v>
      </c>
      <c r="C321">
        <v>15</v>
      </c>
      <c r="D321">
        <v>319</v>
      </c>
      <c r="E321">
        <v>52.306327483801695</v>
      </c>
      <c r="F321">
        <v>-4.0212388009203065E-3</v>
      </c>
    </row>
    <row r="322" spans="1:6" x14ac:dyDescent="0.3">
      <c r="A322">
        <v>52.204720000000002</v>
      </c>
      <c r="B322">
        <v>0.14055999999999999</v>
      </c>
      <c r="C322">
        <v>15</v>
      </c>
      <c r="D322">
        <v>320</v>
      </c>
      <c r="E322">
        <v>52.307858362697232</v>
      </c>
      <c r="F322">
        <v>-1.1013970740332648E-3</v>
      </c>
    </row>
    <row r="323" spans="1:6" x14ac:dyDescent="0.3">
      <c r="A323">
        <v>52.204720000000002</v>
      </c>
      <c r="B323">
        <v>0.14055999999999999</v>
      </c>
      <c r="C323">
        <v>15</v>
      </c>
      <c r="D323">
        <v>321</v>
      </c>
      <c r="E323">
        <v>52.309357777551007</v>
      </c>
      <c r="F323">
        <v>1.8618977166881467E-3</v>
      </c>
    </row>
    <row r="324" spans="1:6" x14ac:dyDescent="0.3">
      <c r="A324">
        <v>52.204720000000002</v>
      </c>
      <c r="B324">
        <v>0.14055999999999999</v>
      </c>
      <c r="C324">
        <v>15</v>
      </c>
      <c r="D324">
        <v>322</v>
      </c>
      <c r="E324">
        <v>52.310825268407633</v>
      </c>
      <c r="F324">
        <v>4.8677409419159608E-3</v>
      </c>
    </row>
    <row r="325" spans="1:6" x14ac:dyDescent="0.3">
      <c r="A325">
        <v>52.204720000000002</v>
      </c>
      <c r="B325">
        <v>0.14055999999999999</v>
      </c>
      <c r="C325">
        <v>15</v>
      </c>
      <c r="D325">
        <v>323</v>
      </c>
      <c r="E325">
        <v>52.312260385059183</v>
      </c>
      <c r="F325">
        <v>7.9152146440041871E-3</v>
      </c>
    </row>
    <row r="326" spans="1:6" x14ac:dyDescent="0.3">
      <c r="A326">
        <v>52.204720000000002</v>
      </c>
      <c r="B326">
        <v>0.14055999999999999</v>
      </c>
      <c r="C326">
        <v>15</v>
      </c>
      <c r="D326">
        <v>324</v>
      </c>
      <c r="E326">
        <v>52.313662687186188</v>
      </c>
      <c r="F326">
        <v>1.100338781940341E-2</v>
      </c>
    </row>
    <row r="327" spans="1:6" x14ac:dyDescent="0.3">
      <c r="A327">
        <v>52.204720000000002</v>
      </c>
      <c r="B327">
        <v>0.14055999999999999</v>
      </c>
      <c r="C327">
        <v>15</v>
      </c>
      <c r="D327">
        <v>325</v>
      </c>
      <c r="E327">
        <v>52.315031744495727</v>
      </c>
      <c r="F327">
        <v>1.4131316705498881E-2</v>
      </c>
    </row>
    <row r="328" spans="1:6" x14ac:dyDescent="0.3">
      <c r="A328">
        <v>52.204720000000002</v>
      </c>
      <c r="B328">
        <v>0.14055999999999999</v>
      </c>
      <c r="C328">
        <v>15</v>
      </c>
      <c r="D328">
        <v>326</v>
      </c>
      <c r="E328">
        <v>52.316367136856279</v>
      </c>
      <c r="F328">
        <v>1.7298045071784771E-2</v>
      </c>
    </row>
    <row r="329" spans="1:6" x14ac:dyDescent="0.3">
      <c r="A329">
        <v>52.204720000000002</v>
      </c>
      <c r="B329">
        <v>0.14055999999999999</v>
      </c>
      <c r="C329">
        <v>15</v>
      </c>
      <c r="D329">
        <v>327</v>
      </c>
      <c r="E329">
        <v>52.317668454429615</v>
      </c>
      <c r="F329">
        <v>2.0502604515278921E-2</v>
      </c>
    </row>
    <row r="330" spans="1:6" x14ac:dyDescent="0.3">
      <c r="A330">
        <v>52.204720000000002</v>
      </c>
      <c r="B330">
        <v>0.14055999999999999</v>
      </c>
      <c r="C330">
        <v>15</v>
      </c>
      <c r="D330">
        <v>328</v>
      </c>
      <c r="E330">
        <v>52.318935297799307</v>
      </c>
      <c r="F330">
        <v>2.3744014760084291E-2</v>
      </c>
    </row>
    <row r="331" spans="1:6" x14ac:dyDescent="0.3">
      <c r="A331">
        <v>52.204720000000002</v>
      </c>
      <c r="B331">
        <v>0.14055999999999999</v>
      </c>
      <c r="C331">
        <v>15</v>
      </c>
      <c r="D331">
        <v>329</v>
      </c>
      <c r="E331">
        <v>52.320167278096186</v>
      </c>
      <c r="F331">
        <v>2.7021283961001393E-2</v>
      </c>
    </row>
    <row r="332" spans="1:6" x14ac:dyDescent="0.3">
      <c r="A332">
        <v>52.204720000000002</v>
      </c>
      <c r="B332">
        <v>0.14055999999999999</v>
      </c>
      <c r="C332">
        <v>15</v>
      </c>
      <c r="D332">
        <v>330</v>
      </c>
      <c r="E332">
        <v>52.321364017120409</v>
      </c>
      <c r="F332">
        <v>3.0333409011090641E-2</v>
      </c>
    </row>
    <row r="333" spans="1:6" x14ac:dyDescent="0.3">
      <c r="A333">
        <v>52.204720000000002</v>
      </c>
      <c r="B333">
        <v>0.14055999999999999</v>
      </c>
      <c r="C333">
        <v>15</v>
      </c>
      <c r="D333">
        <v>331</v>
      </c>
      <c r="E333">
        <v>52.322525147460297</v>
      </c>
      <c r="F333">
        <v>3.3679375853086738E-2</v>
      </c>
    </row>
    <row r="334" spans="1:6" x14ac:dyDescent="0.3">
      <c r="A334">
        <v>52.204720000000002</v>
      </c>
      <c r="B334">
        <v>0.14055999999999999</v>
      </c>
      <c r="C334">
        <v>15</v>
      </c>
      <c r="D334">
        <v>332</v>
      </c>
      <c r="E334">
        <v>52.323650312607782</v>
      </c>
      <c r="F334">
        <v>3.7058159794561285E-2</v>
      </c>
    </row>
    <row r="335" spans="1:6" x14ac:dyDescent="0.3">
      <c r="A335">
        <v>52.204720000000002</v>
      </c>
      <c r="B335">
        <v>0.14055999999999999</v>
      </c>
      <c r="C335">
        <v>15</v>
      </c>
      <c r="D335">
        <v>333</v>
      </c>
      <c r="E335">
        <v>52.324739167070469</v>
      </c>
      <c r="F335">
        <v>4.0468725826732548E-2</v>
      </c>
    </row>
    <row r="336" spans="1:6" x14ac:dyDescent="0.3">
      <c r="A336">
        <v>52.204720000000002</v>
      </c>
      <c r="B336">
        <v>0.14055999999999999</v>
      </c>
      <c r="C336">
        <v>15</v>
      </c>
      <c r="D336">
        <v>334</v>
      </c>
      <c r="E336">
        <v>52.32579137648024</v>
      </c>
      <c r="F336">
        <v>4.3910028946813992E-2</v>
      </c>
    </row>
    <row r="337" spans="1:6" x14ac:dyDescent="0.3">
      <c r="A337">
        <v>52.204720000000002</v>
      </c>
      <c r="B337">
        <v>0.14055999999999999</v>
      </c>
      <c r="C337">
        <v>15</v>
      </c>
      <c r="D337">
        <v>335</v>
      </c>
      <c r="E337">
        <v>52.326806617698487</v>
      </c>
      <c r="F337">
        <v>4.7381014483796891E-2</v>
      </c>
    </row>
    <row r="338" spans="1:6" x14ac:dyDescent="0.3">
      <c r="A338">
        <v>52.204720000000002</v>
      </c>
      <c r="B338">
        <v>0.14055999999999999</v>
      </c>
      <c r="C338">
        <v>15</v>
      </c>
      <c r="D338">
        <v>336</v>
      </c>
      <c r="E338">
        <v>52.327784578917736</v>
      </c>
      <c r="F338">
        <v>5.088061842755804E-2</v>
      </c>
    </row>
    <row r="339" spans="1:6" x14ac:dyDescent="0.3">
      <c r="A339">
        <v>52.204720000000002</v>
      </c>
      <c r="B339">
        <v>0.14055999999999999</v>
      </c>
      <c r="C339">
        <v>15</v>
      </c>
      <c r="D339">
        <v>337</v>
      </c>
      <c r="E339">
        <v>52.328724959759732</v>
      </c>
      <c r="F339">
        <v>5.4407767761182002E-2</v>
      </c>
    </row>
    <row r="340" spans="1:6" x14ac:dyDescent="0.3">
      <c r="A340">
        <v>52.204720000000002</v>
      </c>
      <c r="B340">
        <v>0.14055999999999999</v>
      </c>
      <c r="C340">
        <v>15</v>
      </c>
      <c r="D340">
        <v>338</v>
      </c>
      <c r="E340">
        <v>52.329627471370124</v>
      </c>
      <c r="F340">
        <v>5.7961380796388642E-2</v>
      </c>
    </row>
    <row r="341" spans="1:6" x14ac:dyDescent="0.3">
      <c r="A341">
        <v>52.204720000000002</v>
      </c>
      <c r="B341">
        <v>0.14055999999999999</v>
      </c>
      <c r="C341">
        <v>15</v>
      </c>
      <c r="D341">
        <v>339</v>
      </c>
      <c r="E341">
        <v>52.33049183650926</v>
      </c>
      <c r="F341">
        <v>6.1540367511950404E-2</v>
      </c>
    </row>
    <row r="342" spans="1:6" x14ac:dyDescent="0.3">
      <c r="A342">
        <v>52.204720000000002</v>
      </c>
      <c r="B342">
        <v>0.14055999999999999</v>
      </c>
      <c r="C342">
        <v>15</v>
      </c>
      <c r="D342">
        <v>340</v>
      </c>
      <c r="E342">
        <v>52.331317789639648</v>
      </c>
      <c r="F342">
        <v>6.5143629894987176E-2</v>
      </c>
    </row>
    <row r="343" spans="1:6" x14ac:dyDescent="0.3">
      <c r="A343">
        <v>52.204720000000002</v>
      </c>
      <c r="B343">
        <v>0.14055999999999999</v>
      </c>
      <c r="C343">
        <v>15</v>
      </c>
      <c r="D343">
        <v>341</v>
      </c>
      <c r="E343">
        <v>52.332105077009516</v>
      </c>
      <c r="F343">
        <v>6.8770062285022221E-2</v>
      </c>
    </row>
    <row r="344" spans="1:6" x14ac:dyDescent="0.3">
      <c r="A344">
        <v>52.204720000000002</v>
      </c>
      <c r="B344">
        <v>0.14055999999999999</v>
      </c>
      <c r="C344">
        <v>15</v>
      </c>
      <c r="D344">
        <v>342</v>
      </c>
      <c r="E344">
        <v>52.332853456732764</v>
      </c>
      <c r="F344">
        <v>7.2418551720684537E-2</v>
      </c>
    </row>
    <row r="345" spans="1:6" x14ac:dyDescent="0.3">
      <c r="A345">
        <v>52.204720000000002</v>
      </c>
      <c r="B345">
        <v>0.14055999999999999</v>
      </c>
      <c r="C345">
        <v>15</v>
      </c>
      <c r="D345">
        <v>343</v>
      </c>
      <c r="E345">
        <v>52.333562698865293</v>
      </c>
      <c r="F345">
        <v>7.6087978288936486E-2</v>
      </c>
    </row>
    <row r="346" spans="1:6" x14ac:dyDescent="0.3">
      <c r="A346">
        <v>52.204720000000002</v>
      </c>
      <c r="B346">
        <v>0.14055999999999999</v>
      </c>
      <c r="C346">
        <v>15</v>
      </c>
      <c r="D346">
        <v>344</v>
      </c>
      <c r="E346">
        <v>52.334232585477373</v>
      </c>
      <c r="F346">
        <v>7.9777215476710642E-2</v>
      </c>
    </row>
    <row r="347" spans="1:6" x14ac:dyDescent="0.3">
      <c r="A347">
        <v>52.204720000000002</v>
      </c>
      <c r="B347">
        <v>0.14055999999999999</v>
      </c>
      <c r="C347">
        <v>15</v>
      </c>
      <c r="D347">
        <v>345</v>
      </c>
      <c r="E347">
        <v>52.33486291072245</v>
      </c>
      <c r="F347">
        <v>8.3485130524834139E-2</v>
      </c>
    </row>
    <row r="348" spans="1:6" x14ac:dyDescent="0.3">
      <c r="A348">
        <v>52.204720000000002</v>
      </c>
      <c r="B348">
        <v>0.14055999999999999</v>
      </c>
      <c r="C348">
        <v>15</v>
      </c>
      <c r="D348">
        <v>346</v>
      </c>
      <c r="E348">
        <v>52.335453480902004</v>
      </c>
      <c r="F348">
        <v>8.7210584784119111E-2</v>
      </c>
    </row>
    <row r="349" spans="1:6" x14ac:dyDescent="0.3">
      <c r="A349">
        <v>52.204720000000002</v>
      </c>
      <c r="B349">
        <v>0.14055999999999999</v>
      </c>
      <c r="C349">
        <v>15</v>
      </c>
      <c r="D349">
        <v>347</v>
      </c>
      <c r="E349">
        <v>52.336004114526652</v>
      </c>
      <c r="F349">
        <v>9.0952434073499441E-2</v>
      </c>
    </row>
    <row r="350" spans="1:6" x14ac:dyDescent="0.3">
      <c r="A350">
        <v>52.204720000000002</v>
      </c>
      <c r="B350">
        <v>0.14055999999999999</v>
      </c>
      <c r="C350">
        <v>15</v>
      </c>
      <c r="D350">
        <v>348</v>
      </c>
      <c r="E350">
        <v>52.33651464237343</v>
      </c>
      <c r="F350">
        <v>9.4709529040086865E-2</v>
      </c>
    </row>
    <row r="351" spans="1:6" x14ac:dyDescent="0.3">
      <c r="A351">
        <v>52.204720000000002</v>
      </c>
      <c r="B351">
        <v>0.14055999999999999</v>
      </c>
      <c r="C351">
        <v>15</v>
      </c>
      <c r="D351">
        <v>349</v>
      </c>
      <c r="E351">
        <v>52.336984907539161</v>
      </c>
      <c r="F351">
        <v>9.8480715521025705E-2</v>
      </c>
    </row>
    <row r="352" spans="1:6" x14ac:dyDescent="0.3">
      <c r="A352">
        <v>52.204720000000002</v>
      </c>
      <c r="B352">
        <v>0.14055999999999999</v>
      </c>
      <c r="C352">
        <v>15</v>
      </c>
      <c r="D352">
        <v>350</v>
      </c>
      <c r="E352">
        <v>52.337414765489989</v>
      </c>
      <c r="F352">
        <v>0.10226483490701886</v>
      </c>
    </row>
    <row r="353" spans="1:6" x14ac:dyDescent="0.3">
      <c r="A353">
        <v>52.204720000000002</v>
      </c>
      <c r="B353">
        <v>0.14055999999999999</v>
      </c>
      <c r="C353">
        <v>15</v>
      </c>
      <c r="D353">
        <v>351</v>
      </c>
      <c r="E353">
        <v>52.337804084106928</v>
      </c>
      <c r="F353">
        <v>0.10606072450740267</v>
      </c>
    </row>
    <row r="354" spans="1:6" x14ac:dyDescent="0.3">
      <c r="A354">
        <v>52.204720000000002</v>
      </c>
      <c r="B354">
        <v>0.14055999999999999</v>
      </c>
      <c r="C354">
        <v>15</v>
      </c>
      <c r="D354">
        <v>352</v>
      </c>
      <c r="E354">
        <v>52.33815274372764</v>
      </c>
      <c r="F354">
        <v>0.1098672179166401</v>
      </c>
    </row>
    <row r="355" spans="1:6" x14ac:dyDescent="0.3">
      <c r="A355">
        <v>52.204720000000002</v>
      </c>
      <c r="B355">
        <v>0.14055999999999999</v>
      </c>
      <c r="C355">
        <v>15</v>
      </c>
      <c r="D355">
        <v>353</v>
      </c>
      <c r="E355">
        <v>52.338460637184198</v>
      </c>
      <c r="F355">
        <v>0.11368314538210868</v>
      </c>
    </row>
    <row r="356" spans="1:6" x14ac:dyDescent="0.3">
      <c r="A356">
        <v>52.204720000000002</v>
      </c>
      <c r="B356">
        <v>0.14055999999999999</v>
      </c>
      <c r="C356">
        <v>15</v>
      </c>
      <c r="D356">
        <v>354</v>
      </c>
      <c r="E356">
        <v>52.338727669836871</v>
      </c>
      <c r="F356">
        <v>0.11750733417305405</v>
      </c>
    </row>
    <row r="357" spans="1:6" x14ac:dyDescent="0.3">
      <c r="A357">
        <v>52.204720000000002</v>
      </c>
      <c r="B357">
        <v>0.14055999999999999</v>
      </c>
      <c r="C357">
        <v>15</v>
      </c>
      <c r="D357">
        <v>355</v>
      </c>
      <c r="E357">
        <v>52.33895375960406</v>
      </c>
      <c r="F357">
        <v>0.12133860895058039</v>
      </c>
    </row>
    <row r="358" spans="1:6" x14ac:dyDescent="0.3">
      <c r="A358">
        <v>52.204720000000002</v>
      </c>
      <c r="B358">
        <v>0.14055999999999999</v>
      </c>
      <c r="C358">
        <v>15</v>
      </c>
      <c r="D358">
        <v>356</v>
      </c>
      <c r="E358">
        <v>52.33913883698817</v>
      </c>
      <c r="F358">
        <v>0.12517579213855162</v>
      </c>
    </row>
    <row r="359" spans="1:6" x14ac:dyDescent="0.3">
      <c r="A359">
        <v>52.204720000000002</v>
      </c>
      <c r="B359">
        <v>0.14055999999999999</v>
      </c>
      <c r="C359">
        <v>15</v>
      </c>
      <c r="D359">
        <v>357</v>
      </c>
      <c r="E359">
        <v>52.339282845097586</v>
      </c>
      <c r="F359">
        <v>0.12901770429527096</v>
      </c>
    </row>
    <row r="360" spans="1:6" x14ac:dyDescent="0.3">
      <c r="A360">
        <v>52.204720000000002</v>
      </c>
      <c r="B360">
        <v>0.14055999999999999</v>
      </c>
      <c r="C360">
        <v>15</v>
      </c>
      <c r="D360">
        <v>358</v>
      </c>
      <c r="E360">
        <v>52.339385739664642</v>
      </c>
      <c r="F360">
        <v>0.13286316448581179</v>
      </c>
    </row>
    <row r="361" spans="1:6" x14ac:dyDescent="0.3">
      <c r="A361">
        <v>52.204720000000002</v>
      </c>
      <c r="B361">
        <v>0.14055999999999999</v>
      </c>
      <c r="C361">
        <v>15</v>
      </c>
      <c r="D361">
        <v>359</v>
      </c>
      <c r="E361">
        <v>52.339447489059573</v>
      </c>
      <c r="F361">
        <v>0.13671099065486852</v>
      </c>
    </row>
    <row r="362" spans="1:6" x14ac:dyDescent="0.3">
      <c r="A362">
        <v>52.204720000000002</v>
      </c>
      <c r="B362">
        <v>0.14055999999999999</v>
      </c>
      <c r="C362">
        <v>15</v>
      </c>
      <c r="D362">
        <v>360</v>
      </c>
      <c r="E362">
        <v>52.339468074300541</v>
      </c>
      <c r="F362">
        <v>0.14055999999999993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82A2B-CFA9-4364-9FD1-0DD81C29E65F}">
  <sheetPr codeName="Sheet8"/>
  <dimension ref="A1:D9"/>
  <sheetViews>
    <sheetView workbookViewId="0">
      <selection activeCell="C11" sqref="C11"/>
    </sheetView>
  </sheetViews>
  <sheetFormatPr defaultRowHeight="14.4" x14ac:dyDescent="0.3"/>
  <cols>
    <col min="1" max="1" width="10.21875" customWidth="1"/>
    <col min="3" max="3" width="9" customWidth="1"/>
  </cols>
  <sheetData>
    <row r="1" spans="1:4" x14ac:dyDescent="0.3">
      <c r="A1" t="s">
        <v>301</v>
      </c>
      <c r="B1" t="s">
        <v>295</v>
      </c>
      <c r="C1" t="s">
        <v>296</v>
      </c>
      <c r="D1" t="s">
        <v>297</v>
      </c>
    </row>
    <row r="2" spans="1:4" x14ac:dyDescent="0.3">
      <c r="A2" t="s">
        <v>291</v>
      </c>
      <c r="B2">
        <v>52.204720000000002</v>
      </c>
      <c r="C2">
        <f>RADIANS(B2)</f>
        <v>0.91114424908173419</v>
      </c>
    </row>
    <row r="3" spans="1:4" x14ac:dyDescent="0.3">
      <c r="A3" t="s">
        <v>292</v>
      </c>
      <c r="B3">
        <v>0.14055999999999999</v>
      </c>
      <c r="C3">
        <f>RADIANS(B3)</f>
        <v>2.4532347966032294E-3</v>
      </c>
    </row>
    <row r="4" spans="1:4" x14ac:dyDescent="0.3">
      <c r="A4" t="s">
        <v>293</v>
      </c>
      <c r="B4">
        <v>90</v>
      </c>
      <c r="C4">
        <v>1.57</v>
      </c>
    </row>
    <row r="5" spans="1:4" x14ac:dyDescent="0.3">
      <c r="A5" t="s">
        <v>294</v>
      </c>
      <c r="B5">
        <v>15</v>
      </c>
    </row>
    <row r="6" spans="1:4" x14ac:dyDescent="0.3">
      <c r="A6" t="s">
        <v>298</v>
      </c>
      <c r="B6">
        <v>6378.1</v>
      </c>
    </row>
    <row r="8" spans="1:4" x14ac:dyDescent="0.3">
      <c r="B8" t="s">
        <v>299</v>
      </c>
      <c r="C8">
        <f>ASIN(SIN(C2)*COS(B5/B6)+(COS(C2)*SIN(B5/B6)*COS(C4)))</f>
        <v>0.91114255604617567</v>
      </c>
      <c r="D8">
        <f>DEGREES(C8)</f>
        <v>52.204622996207931</v>
      </c>
    </row>
    <row r="9" spans="1:4" x14ac:dyDescent="0.3">
      <c r="B9" t="s">
        <v>300</v>
      </c>
      <c r="C9">
        <f>C3+(
              ATAN2(
                  COS(B5/B6)-SIN(C2)*SIN(C8),SIN(C4)*SIN(B5/B6)*COS(C2)
           )
)</f>
        <v>6.2907580724620958E-3</v>
      </c>
      <c r="D9">
        <f>DEGREES(C9)</f>
        <v>0.36043388748993099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87743F7-D597-4007-849B-E7549F664F11}">
  <ds:schemaRefs/>
</ds:datastoreItem>
</file>

<file path=customXml/itemProps2.xml><?xml version="1.0" encoding="utf-8"?>
<ds:datastoreItem xmlns:ds="http://schemas.openxmlformats.org/officeDocument/2006/customXml" ds:itemID="{56B2E592-611A-492E-9826-EA8C0D00EFB0}">
  <ds:schemaRefs/>
</ds:datastoreItem>
</file>

<file path=customXml/itemProps3.xml><?xml version="1.0" encoding="utf-8"?>
<ds:datastoreItem xmlns:ds="http://schemas.openxmlformats.org/officeDocument/2006/customXml" ds:itemID="{2243C04E-A283-4794-ADF6-D00D041B6C74}">
  <ds:schemaRefs/>
</ds:datastoreItem>
</file>

<file path=customXml/itemProps4.xml><?xml version="1.0" encoding="utf-8"?>
<ds:datastoreItem xmlns:ds="http://schemas.openxmlformats.org/officeDocument/2006/customXml" ds:itemID="{F5DD88ED-D58F-4B1A-BDD3-985FFA8C4868}">
  <ds:schemaRefs/>
</ds:datastoreItem>
</file>

<file path=customXml/itemProps5.xml><?xml version="1.0" encoding="utf-8"?>
<ds:datastoreItem xmlns:ds="http://schemas.openxmlformats.org/officeDocument/2006/customXml" ds:itemID="{C2626FD4-EA2D-410A-8BEB-5333C4750951}">
  <ds:schemaRefs/>
</ds:datastoreItem>
</file>

<file path=customXml/itemProps6.xml><?xml version="1.0" encoding="utf-8"?>
<ds:datastoreItem xmlns:ds="http://schemas.openxmlformats.org/officeDocument/2006/customXml" ds:itemID="{BD05960C-5B1E-4FA2-B5AC-2D00CDB83C79}">
  <ds:schemaRefs/>
</ds:datastoreItem>
</file>

<file path=customXml/itemProps7.xml><?xml version="1.0" encoding="utf-8"?>
<ds:datastoreItem xmlns:ds="http://schemas.openxmlformats.org/officeDocument/2006/customXml" ds:itemID="{63740102-9AB0-4FB5-BA0E-D0212A8F2C13}">
  <ds:schemaRefs/>
</ds:datastoreItem>
</file>

<file path=customXml/itemProps8.xml><?xml version="1.0" encoding="utf-8"?>
<ds:datastoreItem xmlns:ds="http://schemas.openxmlformats.org/officeDocument/2006/customXml" ds:itemID="{D318BE8F-541B-4BE5-A401-DAD053C27A0A}">
  <ds:schemaRefs/>
</ds:datastoreItem>
</file>

<file path=customXml/itemProps9.xml><?xml version="1.0" encoding="utf-8"?>
<ds:datastoreItem xmlns:ds="http://schemas.openxmlformats.org/officeDocument/2006/customXml" ds:itemID="{77ACFF2E-0A2A-41C2-9207-451666986CAC}">
  <ds:schemaRefs/>
</ds:datastoreItem>
</file>

<file path=customXml/itemProps10.xml><?xml version="1.0" encoding="utf-8"?>
<ds:datastoreItem xmlns:ds="http://schemas.openxmlformats.org/officeDocument/2006/customXml" ds:itemID="{E620A154-BD73-47D8-91D7-9F7FA930A8A2}">
  <ds:schemaRefs/>
</ds:datastoreItem>
</file>

<file path=customXml/itemProps11.xml><?xml version="1.0" encoding="utf-8"?>
<ds:datastoreItem xmlns:ds="http://schemas.openxmlformats.org/officeDocument/2006/customXml" ds:itemID="{92292E47-881B-4590-A354-C55BAA0F7390}">
  <ds:schemaRefs/>
</ds:datastoreItem>
</file>

<file path=customXml/itemProps12.xml><?xml version="1.0" encoding="utf-8"?>
<ds:datastoreItem xmlns:ds="http://schemas.openxmlformats.org/officeDocument/2006/customXml" ds:itemID="{B8B39FA7-9835-47F6-9342-E2C71CAD4B35}">
  <ds:schemaRefs/>
</ds:datastoreItem>
</file>

<file path=customXml/itemProps13.xml><?xml version="1.0" encoding="utf-8"?>
<ds:datastoreItem xmlns:ds="http://schemas.openxmlformats.org/officeDocument/2006/customXml" ds:itemID="{96D3ECFC-CFA4-44A3-914C-214205FBA725}">
  <ds:schemaRefs>
    <ds:schemaRef ds:uri="http://schemas.microsoft.com/DataMashup"/>
  </ds:schemaRefs>
</ds:datastoreItem>
</file>

<file path=customXml/itemProps14.xml><?xml version="1.0" encoding="utf-8"?>
<ds:datastoreItem xmlns:ds="http://schemas.openxmlformats.org/officeDocument/2006/customXml" ds:itemID="{4715FD3A-8BE8-44EE-9686-BBF13CB691A9}">
  <ds:schemaRefs/>
</ds:datastoreItem>
</file>

<file path=customXml/itemProps15.xml><?xml version="1.0" encoding="utf-8"?>
<ds:datastoreItem xmlns:ds="http://schemas.openxmlformats.org/officeDocument/2006/customXml" ds:itemID="{0F94EE47-8F14-402A-8501-7C14BD385682}">
  <ds:schemaRefs/>
</ds:datastoreItem>
</file>

<file path=customXml/itemProps16.xml><?xml version="1.0" encoding="utf-8"?>
<ds:datastoreItem xmlns:ds="http://schemas.openxmlformats.org/officeDocument/2006/customXml" ds:itemID="{4E2CEBE2-8AB4-491C-8071-8AE786831695}">
  <ds:schemaRefs/>
</ds:datastoreItem>
</file>

<file path=customXml/itemProps17.xml><?xml version="1.0" encoding="utf-8"?>
<ds:datastoreItem xmlns:ds="http://schemas.openxmlformats.org/officeDocument/2006/customXml" ds:itemID="{BF71FE98-0C0A-45E9-886E-8D6F18F1AB77}">
  <ds:schemaRefs/>
</ds:datastoreItem>
</file>

<file path=customXml/itemProps18.xml><?xml version="1.0" encoding="utf-8"?>
<ds:datastoreItem xmlns:ds="http://schemas.openxmlformats.org/officeDocument/2006/customXml" ds:itemID="{0C628CBA-430D-48E8-BD25-5B104BCE6DD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QueryFolding</vt:lpstr>
      <vt:lpstr>Sheet1</vt:lpstr>
      <vt:lpstr>Invoked Function</vt:lpstr>
      <vt:lpstr>Table6</vt:lpstr>
      <vt:lpstr>Invoked Function (2)</vt:lpstr>
      <vt:lpstr>Table</vt:lpstr>
      <vt:lpstr>Table (2)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Aragao</dc:creator>
  <cp:lastModifiedBy>Chris Aragao</cp:lastModifiedBy>
  <dcterms:created xsi:type="dcterms:W3CDTF">2022-09-28T13:21:11Z</dcterms:created>
  <dcterms:modified xsi:type="dcterms:W3CDTF">2022-10-10T17:01:47Z</dcterms:modified>
</cp:coreProperties>
</file>